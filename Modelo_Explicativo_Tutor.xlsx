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800153f987622d/Escritorio/PERSONAL/Investigacion/Trabajo de Fin De Grado - Aritz Fernandez Aulestiarte/MODELO V2/"/>
    </mc:Choice>
  </mc:AlternateContent>
  <xr:revisionPtr revIDLastSave="1" documentId="11_A0D3805AFF62EA4D12039FB311E749641555CB9C" xr6:coauthVersionLast="47" xr6:coauthVersionMax="47" xr10:uidLastSave="{0D7DF83E-56A1-4137-8C78-2D7AD91F94EB}"/>
  <bookViews>
    <workbookView xWindow="-110" yWindow="-110" windowWidth="19420" windowHeight="10300" firstSheet="4" activeTab="6" xr2:uid="{00000000-000D-0000-FFFF-FFFF00000000}"/>
  </bookViews>
  <sheets>
    <sheet name="📋 Índice" sheetId="1" r:id="rId1"/>
    <sheet name="1️⃣ Variables" sheetId="2" r:id="rId2"/>
    <sheet name="2️⃣ Regla Taylor" sheetId="3" r:id="rId3"/>
    <sheet name="3️⃣ Importancias" sheetId="4" r:id="rId4"/>
    <sheet name="4️⃣ Test 2024-2025" sheetId="5" r:id="rId5"/>
    <sheet name="5️⃣ Clasificación" sheetId="6" r:id="rId6"/>
    <sheet name="6️⃣ Escenarios 2026-2030" sheetId="7" r:id="rId7"/>
    <sheet name="7️⃣ Métricas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7" l="1"/>
  <c r="H32" i="7"/>
  <c r="C32" i="7"/>
  <c r="M24" i="7"/>
  <c r="H24" i="7"/>
  <c r="C24" i="7"/>
  <c r="M16" i="7"/>
  <c r="H16" i="7"/>
  <c r="C16" i="7"/>
  <c r="B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Q28" i="5"/>
  <c r="K28" i="5"/>
  <c r="E28" i="5"/>
  <c r="Q27" i="5"/>
  <c r="K27" i="5"/>
  <c r="E27" i="5"/>
  <c r="Q26" i="5"/>
  <c r="K26" i="5"/>
  <c r="E26" i="5"/>
  <c r="Q25" i="5"/>
  <c r="K25" i="5"/>
  <c r="E25" i="5"/>
  <c r="Q24" i="5"/>
  <c r="K24" i="5"/>
  <c r="E24" i="5"/>
  <c r="Q23" i="5"/>
  <c r="K23" i="5"/>
  <c r="E23" i="5"/>
  <c r="Q22" i="5"/>
  <c r="K22" i="5"/>
  <c r="E22" i="5"/>
  <c r="Q21" i="5"/>
  <c r="K21" i="5"/>
  <c r="E21" i="5"/>
  <c r="Q20" i="5"/>
  <c r="K20" i="5"/>
  <c r="E20" i="5"/>
  <c r="Q19" i="5"/>
  <c r="K19" i="5"/>
  <c r="E19" i="5"/>
  <c r="Q18" i="5"/>
  <c r="K18" i="5"/>
  <c r="E18" i="5"/>
  <c r="Q17" i="5"/>
  <c r="K17" i="5"/>
  <c r="E17" i="5"/>
  <c r="Q16" i="5"/>
  <c r="K16" i="5"/>
  <c r="E16" i="5"/>
  <c r="Q15" i="5"/>
  <c r="K15" i="5"/>
  <c r="E15" i="5"/>
  <c r="Q14" i="5"/>
  <c r="K14" i="5"/>
  <c r="E14" i="5"/>
  <c r="Q13" i="5"/>
  <c r="K13" i="5"/>
  <c r="E13" i="5"/>
  <c r="R12" i="5"/>
  <c r="Q12" i="5"/>
  <c r="K12" i="5"/>
  <c r="F12" i="5"/>
  <c r="E12" i="5"/>
  <c r="Q11" i="5"/>
  <c r="K11" i="5"/>
  <c r="E11" i="5"/>
  <c r="Q10" i="5"/>
  <c r="K10" i="5"/>
  <c r="E10" i="5"/>
  <c r="Q9" i="5"/>
  <c r="K9" i="5"/>
  <c r="E9" i="5"/>
  <c r="Q8" i="5"/>
  <c r="K8" i="5"/>
  <c r="E8" i="5"/>
  <c r="Q7" i="5"/>
  <c r="K7" i="5"/>
  <c r="E7" i="5"/>
  <c r="Q6" i="5"/>
  <c r="K6" i="5"/>
  <c r="E6" i="5"/>
  <c r="Q5" i="5"/>
  <c r="K5" i="5"/>
  <c r="E5" i="5"/>
  <c r="E15" i="4"/>
  <c r="D15" i="4"/>
  <c r="C15" i="4"/>
  <c r="E16" i="3"/>
  <c r="D16" i="3"/>
  <c r="C16" i="3"/>
  <c r="E15" i="3"/>
  <c r="D15" i="3"/>
  <c r="C15" i="3"/>
  <c r="R11" i="5" l="1"/>
  <c r="L11" i="5"/>
  <c r="F11" i="5"/>
  <c r="R10" i="5"/>
  <c r="L10" i="5"/>
  <c r="F10" i="5"/>
  <c r="R9" i="5"/>
  <c r="L9" i="5"/>
  <c r="F9" i="5"/>
  <c r="R8" i="5"/>
  <c r="L8" i="5"/>
  <c r="F8" i="5"/>
  <c r="R7" i="5"/>
  <c r="L7" i="5"/>
  <c r="F7" i="5"/>
  <c r="R6" i="5"/>
  <c r="L6" i="5"/>
  <c r="F6" i="5"/>
  <c r="R5" i="5"/>
  <c r="L5" i="5"/>
  <c r="F5" i="5"/>
  <c r="F28" i="5"/>
  <c r="R28" i="5"/>
  <c r="R27" i="5"/>
  <c r="L27" i="5"/>
  <c r="F27" i="5"/>
  <c r="R26" i="5"/>
  <c r="L26" i="5"/>
  <c r="F26" i="5"/>
  <c r="R25" i="5"/>
  <c r="L25" i="5"/>
  <c r="F25" i="5"/>
  <c r="R24" i="5"/>
  <c r="L24" i="5"/>
  <c r="F24" i="5"/>
  <c r="R23" i="5"/>
  <c r="L23" i="5"/>
  <c r="F23" i="5"/>
  <c r="R22" i="5"/>
  <c r="L22" i="5"/>
  <c r="F22" i="5"/>
  <c r="R21" i="5"/>
  <c r="L21" i="5"/>
  <c r="F21" i="5"/>
  <c r="R20" i="5"/>
  <c r="L20" i="5"/>
  <c r="F20" i="5"/>
  <c r="R19" i="5"/>
  <c r="L19" i="5"/>
  <c r="F19" i="5"/>
  <c r="R18" i="5"/>
  <c r="L18" i="5"/>
  <c r="F18" i="5"/>
  <c r="R17" i="5"/>
  <c r="L17" i="5"/>
  <c r="F17" i="5"/>
  <c r="R16" i="5"/>
  <c r="L16" i="5"/>
  <c r="F16" i="5"/>
  <c r="R15" i="5"/>
  <c r="L15" i="5"/>
  <c r="F15" i="5"/>
  <c r="R14" i="5"/>
  <c r="L14" i="5"/>
  <c r="F14" i="5"/>
  <c r="R13" i="5"/>
  <c r="L13" i="5"/>
  <c r="F13" i="5"/>
  <c r="L12" i="5"/>
  <c r="L28" i="5"/>
  <c r="E17" i="3"/>
  <c r="E18" i="3" s="1"/>
  <c r="D17" i="3"/>
  <c r="D18" i="3" s="1"/>
  <c r="C17" i="3"/>
  <c r="C18" i="3" s="1"/>
  <c r="O29" i="5" l="1"/>
  <c r="C29" i="5"/>
  <c r="I29" i="5"/>
</calcChain>
</file>

<file path=xl/sharedStrings.xml><?xml version="1.0" encoding="utf-8"?>
<sst xmlns="http://schemas.openxmlformats.org/spreadsheetml/2006/main" count="509" uniqueCount="210">
  <si>
    <t>MODELO PREDICTIVO DE TIPOS DE INTERÉS — BCE · BoE · FED</t>
  </si>
  <si>
    <t>TFG · Aritz Fernández Aulestiarte  |  Documento explicativo para el tutor</t>
  </si>
  <si>
    <t>HOJA</t>
  </si>
  <si>
    <t>CONTENIDO</t>
  </si>
  <si>
    <t>1️⃣  Variables del Modelo</t>
  </si>
  <si>
    <t>Las 10 variables de entrada — qué mide cada una y por qué</t>
  </si>
  <si>
    <t>2️⃣  Regla de Taylor</t>
  </si>
  <si>
    <t>Calculadora interactiva: cambia inflación o PIB y ve el tipo 'ideal' actualizarse</t>
  </si>
  <si>
    <t>3️⃣  Importancia de Variables</t>
  </si>
  <si>
    <t>Qué peso le da el modelo a cada variable para cada banco</t>
  </si>
  <si>
    <t>4️⃣  Predicción Test 2024-2025</t>
  </si>
  <si>
    <t>Comparativa tipo real vs predicho + cálculo del error MAE con fórmulas Excel</t>
  </si>
  <si>
    <t>5️⃣  Clasificación Dirección</t>
  </si>
  <si>
    <t>Cómo decide el modelo si el tipo SUBE, BAJA o queda ESTABLE</t>
  </si>
  <si>
    <t>6️⃣  Escenarios 2026-2030</t>
  </si>
  <si>
    <t>Predicciones futuras bajo 3 escenarios — fórmulas Taylor vinculadas</t>
  </si>
  <si>
    <t>7️⃣  Métricas Resumen</t>
  </si>
  <si>
    <t>Tabla final de precisión del modelo para los tres bancos</t>
  </si>
  <si>
    <t>LEYENDA DE COLORES</t>
  </si>
  <si>
    <t>Celda AMARILLA  →  Dato de entrada que puedes modificar</t>
  </si>
  <si>
    <t>Celda VERDE      →  Resultado calculado automáticamente con fórmula Excel</t>
  </si>
  <si>
    <t>Celda AZUL       →  Dato informativo real del modelo</t>
  </si>
  <si>
    <t>Celda ROJA       →  Error de predicción (diferencia real − predicho)</t>
  </si>
  <si>
    <t>VARIABLES DEL MODELO — Las 10 entradas del Random Forest</t>
  </si>
  <si>
    <t>#</t>
  </si>
  <si>
    <t>Variable</t>
  </si>
  <si>
    <t>Nombre completo</t>
  </si>
  <si>
    <t>Unidad</t>
  </si>
  <si>
    <t>Frecuencia</t>
  </si>
  <si>
    <t>¿Qué mide para el modelo?</t>
  </si>
  <si>
    <t>PIB_growth</t>
  </si>
  <si>
    <t>Crecimiento del PIB</t>
  </si>
  <si>
    <t>%</t>
  </si>
  <si>
    <t>Anual</t>
  </si>
  <si>
    <t>Cuánto crece la economía respecto al año anterior. Si sube mucho → economía recalentada → bancos suben tipos</t>
  </si>
  <si>
    <t>PIBpc_growth</t>
  </si>
  <si>
    <t>Crecimiento PIB per cápita</t>
  </si>
  <si>
    <t>Igual que el anterior pero dividido por habitante. Más preciso para comparar entre países</t>
  </si>
  <si>
    <t>Inflación</t>
  </si>
  <si>
    <t>Tasa de inflación</t>
  </si>
  <si>
    <t>Mensual</t>
  </si>
  <si>
    <t>Cuánto suben los precios. El objetivo de los tres bancos es 2%. Si supera ese nivel → suben tipos</t>
  </si>
  <si>
    <t>Desempleo</t>
  </si>
  <si>
    <t>Tasa de desempleo</t>
  </si>
  <si>
    <t>Porcentaje de personas sin trabajo. Especialmente importante para la FED (doble mandato: inflación + empleo)</t>
  </si>
  <si>
    <t>Rating</t>
  </si>
  <si>
    <t>Calificación crediticia</t>
  </si>
  <si>
    <t>Escala 1-10</t>
  </si>
  <si>
    <t>Estático</t>
  </si>
  <si>
    <t>Solidez financiera del país/zona. BCE=8.09 | BoE=8.50 | FED=9.50. El mismo valor todos los meses → no influye en el modelo</t>
  </si>
  <si>
    <t>VIX</t>
  </si>
  <si>
    <t>Índice de volatilidad de mercado</t>
  </si>
  <si>
    <t>Puntos (9=calma, 80=pánico)</t>
  </si>
  <si>
    <t>Mide el miedo en los mercados. Alto VIX = incertidumbre = bancos centrales más cautos con los tipos</t>
  </si>
  <si>
    <t>Oro</t>
  </si>
  <si>
    <t>Precio del oro</t>
  </si>
  <si>
    <t>USD/onza troy</t>
  </si>
  <si>
    <t>Activo refugio. Sube cuando hay incertidumbre económica o inflación alta. Señal de tensión financiera</t>
  </si>
  <si>
    <t>Plata</t>
  </si>
  <si>
    <t>Precio de la plata</t>
  </si>
  <si>
    <t>Combina factor refugio + demanda industrial. Complementa al oro como señal de mercado</t>
  </si>
  <si>
    <t>Gas</t>
  </si>
  <si>
    <t>Precio del gas natural</t>
  </si>
  <si>
    <t>EUR/MWh (BCE/BoE) | USD/MMBtu (FED)</t>
  </si>
  <si>
    <t>Impacta directamente en la inflación energética. La crisis de 2022 disparó los tipos precisamente por esto</t>
  </si>
  <si>
    <t>OIS_taylor</t>
  </si>
  <si>
    <t>Regla de Taylor (calculada)</t>
  </si>
  <si>
    <t>Calculada a partir de Inflación y PIB</t>
  </si>
  <si>
    <t>Tipo de interés 'ideal' según la fórmula de Taylor. NO es un dato externo — se calcula con fórmula matemática (ver hoja 2)</t>
  </si>
  <si>
    <t>⚠️  IMPORTANTE sobre OIS_taylor: la fórmula es  OIS_taylor = MÁX(0 ;  r*  +  1,5×(Inflación − 2%)  +  0,5×(PIB_growth − y*)). Se calcula internamente para evitar que el modelo use el tipo real como variable de entrada (lo que sería trampa). Ver hoja 2️⃣ para la calculadora interactiva.</t>
  </si>
  <si>
    <t>REGLA DE TAYLOR — Calculadora interactiva del tipo de interés 'ideal'</t>
  </si>
  <si>
    <t>La Regla de Taylor (1993) estima cuál debería ser el tipo de interés según la economía real. Si la inflación supera el 2% o el PIB crece más de lo sostenible → el tipo debería subir. Cambia los valores AMARILLOS y las celdas VERDES se recalcularán solas.</t>
  </si>
  <si>
    <t>FÓRMULA:    OIS_taylor  =  MÁX( 0 ;  r*  +  1,5 × (Inflación − 2%)  +  0,5 × (PIB_growth − y*) )</t>
  </si>
  <si>
    <t>BLOQUE A — Parámetros fijos del modelo (calibrados con literatura económica)</t>
  </si>
  <si>
    <t>Parámetro</t>
  </si>
  <si>
    <t>BCE</t>
  </si>
  <si>
    <t>BoE</t>
  </si>
  <si>
    <t>FED</t>
  </si>
  <si>
    <t>r*   — Tipo neutral real (%)</t>
  </si>
  <si>
    <t>π*   — Objetivo inflación (%)</t>
  </si>
  <si>
    <t>y*   — Crecimiento potencial PIB (%)</t>
  </si>
  <si>
    <t>BLOQUE B — Calculadora interactiva  (modifica los valores AMARILLOS)</t>
  </si>
  <si>
    <t>📥  Inflación actual (%)</t>
  </si>
  <si>
    <t>📥  PIB_growth actual (%)</t>
  </si>
  <si>
    <t>📐  Paso 1: Gap inflación  =  Inflación − π*</t>
  </si>
  <si>
    <t>📐  Paso 2: Gap PIB  =  PIB_growth − y*</t>
  </si>
  <si>
    <t>📐  Paso 3: Taylor bruto  =  r* + 1,5×Gap_π + 0,5×Gap_PIB</t>
  </si>
  <si>
    <t>✅  OIS_taylor FINAL  =  MÁX(0 ; Paso 3)</t>
  </si>
  <si>
    <t>💡  En los escenarios 2026-2030, este mismo cálculo se aplica con los valores macro de cada escenario (Base, Optimista, Pesimista). El OIS_taylor resultante es directamente el tipo de interés predicho para ese período. Ve a la hoja 6️⃣ para ver los tres escenarios con sus fórmulas.</t>
  </si>
  <si>
    <t>IMPORTANCIA DE VARIABLES — Cuánto contribuye cada variable a las predicciones del Random Forest</t>
  </si>
  <si>
    <t>El Random Forest calcula automáticamente qué variables son más útiles para predecir los cambios de tipos. El porcentaje indica cuánto redujo el error cada variable a lo largo de los 200 árboles de decisión. La suma de todas las variables = 100% para cada banco.</t>
  </si>
  <si>
    <t>BCE (Eurozona)</t>
  </si>
  <si>
    <t>BoE (Reino Unido)</t>
  </si>
  <si>
    <t>FED (EE.UU.)</t>
  </si>
  <si>
    <t>Interpretación</t>
  </si>
  <si>
    <t>Alta volatilidad de mercado = señal fuerte de cambio inminente de tipos</t>
  </si>
  <si>
    <t>El tipo 'ideal' según Taylor concentra la señal de inflación + PIB</t>
  </si>
  <si>
    <t>Especialmente crítico para la FED (doble mandato)</t>
  </si>
  <si>
    <t>Inflacion</t>
  </si>
  <si>
    <t>Variable objetivo de los bancos centrales — objetivo 2%</t>
  </si>
  <si>
    <t>Proxy de demanda industrial y tensión financiera</t>
  </si>
  <si>
    <t>Crecimiento per cápita — más preciso que el PIB total</t>
  </si>
  <si>
    <t>Crecimiento real de la economía — cuánto produce el país</t>
  </si>
  <si>
    <t>Impulsor clave de la inflación energética (esp. Europa 2022)</t>
  </si>
  <si>
    <t>Activo refugio — sube con la incertidumbre económica</t>
  </si>
  <si>
    <t>Constante por banco → el modelo nunca lo usa (0%)</t>
  </si>
  <si>
    <t>TOTAL</t>
  </si>
  <si>
    <t>→  Debe sumar 100% para cada banco (el modelo distribuye el 100% entre las variables)</t>
  </si>
  <si>
    <t>🔑  LECTURA CLAVE: La FED da mucho peso al PIB (≈38%) porque tiene doble mandato legal (estabilidad de precios + máximo empleo). El BCE y BoE, con mandato único de inflación, reaccionan más al VIX (volatilidad de mercado) porque los grandes shocks del período 2000-2025 (crisis 2008, COVID, energía 2022) se manifestaron primero como volatilidad de mercado.</t>
  </si>
  <si>
    <t>PREDICCIÓN TEST 2024-2025 — Comparativa Tipo Real vs Predicho + Cálculo del Error (MAE)</t>
  </si>
  <si>
    <t>El modelo predice el tipo de interés mensual. Aquí se compara con lo que realmente ocurrió. Error = Tipo_Real − Tipo_Predicho  |  |Error| = ABS(Error)  |  MAE = PROMEDIO de todos los |Error|  Las fórmulas verdes calculan el error automáticamente a partir de los datos azules.</t>
  </si>
  <si>
    <t xml:space="preserve">  BCE</t>
  </si>
  <si>
    <t xml:space="preserve">  BoE</t>
  </si>
  <si>
    <t xml:space="preserve">  FED</t>
  </si>
  <si>
    <t>Fecha</t>
  </si>
  <si>
    <t>Tipo Real (%)</t>
  </si>
  <si>
    <t>Tipo Predicho (%)</t>
  </si>
  <si>
    <t>Error (pp)</t>
  </si>
  <si>
    <t>|Error| (pp)</t>
  </si>
  <si>
    <t>Acierto dirección</t>
  </si>
  <si>
    <t>2024-01</t>
  </si>
  <si>
    <t>✅</t>
  </si>
  <si>
    <t>2024-02</t>
  </si>
  <si>
    <t>2024-03</t>
  </si>
  <si>
    <t>2024-04</t>
  </si>
  <si>
    <t>2024-05</t>
  </si>
  <si>
    <t>❌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</si>
  <si>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</si>
  <si>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</si>
  <si>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</si>
  <si>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</si>
  <si>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</si>
  <si>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</si>
  <si>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</si>
  <si>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</si>
  <si>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</si>
  <si>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</si>
  <si>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</si>
  <si>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</si>
  <si>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</si>
  <si>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</si>
  <si>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</si>
  <si>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</si>
  <si>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</si>
  <si>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</si>
  <si>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</si>
  <si>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MAE (Error Medio)</t>
  </si>
  <si>
    <t>← PROMEDIO( |Error| ) — cuanto más bajo, mejor</t>
  </si>
  <si>
    <t>📖  MAE = Mean Absolute Error (Error Absoluto Medio). Mide en promedio cuántos puntos porcentuales se equivoca el modelo. Un MAE de 0.13 significa que el modelo se equivoca de media en ±0,13 puntos porcentuales. En un rango de tipos que va del 0% al 5,5%, eso es una precisión del ~97%.</t>
  </si>
  <si>
    <t>CLASIFICACIÓN DE DIRECCIÓN — Cómo decide el modelo si el tipo SUBE, BAJA o queda ESTABLE</t>
  </si>
  <si>
    <t>Además de predecir el nivel del tipo, el modelo clasifica la DIRECCIÓN del movimiento. La Regresión Logística calcula la probabilidad de cada dirección. Net Score = P(Sube) − P(Baja): va de −100 (bajada segura) a +100 (subida segura).</t>
  </si>
  <si>
    <t>REGLA DE CLASIFICACIÓN:
  Si  Δtipo  &gt;  +0,125 pp  →  'SUBE'      (el tipo sube más de la mitad del mínimo paso real de 0,25pp)
  Si  Δtipo  &lt;  −0,125 pp  →  'BAJA'      (el tipo baja más de la mitad del mínimo paso real)
  Si  |Δtipo|  ≤  0,125 pp →  'ESTABLE'   (el tipo prácticamente no se mueve)</t>
  </si>
  <si>
    <t>EJEMPLO: BCE 2024-2025 — Probabilidades de dirección por mes</t>
  </si>
  <si>
    <t>Tipo Real</t>
  </si>
  <si>
    <t>Tipo Pred.</t>
  </si>
  <si>
    <t>P(Baja)%</t>
  </si>
  <si>
    <t>P(Estable)%</t>
  </si>
  <si>
    <t>P(Sube)%</t>
  </si>
  <si>
    <t>Dirección</t>
  </si>
  <si>
    <t>Net Score</t>
  </si>
  <si>
    <t>Fórmula Net Score</t>
  </si>
  <si>
    <t>Estable</t>
  </si>
  <si>
    <t>Acierto dirección BCE</t>
  </si>
  <si>
    <t>📊  Net Score &gt; 0 → el modelo ve más probabilidad de subida que bajada. Net Score &lt; 0 → más probabilidad de bajada. Net Score ≈ 0 → el modelo considera la situación equilibrada (probable Estable).</t>
  </si>
  <si>
    <t>ESCENARIOS 2026-2030 — Predicciones futuras con Regla de Taylor + probabilidades de dirección</t>
  </si>
  <si>
    <t>Para el futuro (2026-2030) el modelo usa la Regla de Taylor directamente como tipo predicho. Se definen 3 escenarios macroeconómicos. Las celdas AMARILLAS son los supuestos de cada escenario — modifícalas y las predicciones VERDES se recalcularán automáticamente.</t>
  </si>
  <si>
    <t>PARÁMETROS TAYLOR (referencia) — Mismos que hoja 2️⃣</t>
  </si>
  <si>
    <t>Param.</t>
  </si>
  <si>
    <t>r*</t>
  </si>
  <si>
    <t>π* (objetivo infl.)</t>
  </si>
  <si>
    <t>y* (PIB potencial)</t>
  </si>
  <si>
    <t>ESCENARIO BASE</t>
  </si>
  <si>
    <t>Variable (BCE)</t>
  </si>
  <si>
    <t>Valor 2026</t>
  </si>
  <si>
    <t>Tipo pred. (%)</t>
  </si>
  <si>
    <t>Variable (BoE)</t>
  </si>
  <si>
    <t>Variable (FED)</t>
  </si>
  <si>
    <t>PIB_growth (%)</t>
  </si>
  <si>
    <t>PIBpc_growth (%)</t>
  </si>
  <si>
    <t>Inflación (%)</t>
  </si>
  <si>
    <t>Desempleo (%)</t>
  </si>
  <si>
    <t>✅ OIS_taylor (tipo pred.)</t>
  </si>
  <si>
    <t>Net Score ene-2026</t>
  </si>
  <si>
    <t>ESCENARIO OPTIMISTA</t>
  </si>
  <si>
    <t>ESCENARIO PESIMISTA</t>
  </si>
  <si>
    <t>💡  Cambia cualquier celda AMARILLA (PIB_growth, Inflación, etc.) y el OIS_taylor VERDE se recalculará automáticamente con la Regla de Taylor. Así puedes crear tu propio escenario personalizado sin necesidad del dashboard.</t>
  </si>
  <si>
    <t>MÉTRICAS DE PRECISIÓN — Evaluación del modelo en el período test 2024-2025</t>
  </si>
  <si>
    <t>Todas las métricas se calculan ÚNICAMENTE sobre los 24 meses de test (2024-2025), que el modelo NUNCA vio durante el entrenamiento. MAE = error medio | RMSE = error medio penalizando más los grandes errores | R² = bondad de ajuste (1.0 = perfecto)</t>
  </si>
  <si>
    <t>Banco</t>
  </si>
  <si>
    <t>Modelo</t>
  </si>
  <si>
    <t>MAE Train</t>
  </si>
  <si>
    <t>RMSE Train</t>
  </si>
  <si>
    <t>R² Train</t>
  </si>
  <si>
    <t>MAE Test</t>
  </si>
  <si>
    <t>RMSE Test</t>
  </si>
  <si>
    <t>R² Test</t>
  </si>
  <si>
    <t>Significado R²</t>
  </si>
  <si>
    <t>Random Forest</t>
  </si>
  <si>
    <t>El modelo explica el 96,3% de la variación del tipo de interés BCE en test</t>
  </si>
  <si>
    <t>Ridge (comparativo)</t>
  </si>
  <si>
    <t>El modelo explica el 97,1% de la variación del tipo de interés BoE en test</t>
  </si>
  <si>
    <t>El modelo explica el 93,7% de la variación del tipo de interés FED en test</t>
  </si>
  <si>
    <t>GLOSARIO DE MÉTRICAS — Fórmulas y significado</t>
  </si>
  <si>
    <t>MAE  (Error Medio Absoluto)</t>
  </si>
  <si>
    <t>RMSE (Raíz Error Cuadrático Medio)</t>
  </si>
  <si>
    <t>R²   (Coeficiente de determinación)</t>
  </si>
  <si>
    <t>Va de 0 a 1. Un R²=0.97 significa que el modelo explica el 97% de la variación observada en los tipos</t>
  </si>
  <si>
    <t>Acierto de dirección</t>
  </si>
  <si>
    <t>% de meses en que el modelo predijo correctamente SUBE / BAJA / ESTABLE</t>
  </si>
  <si>
    <t>🏆  CONCLUSIÓN: El modelo tiene un R² &gt; 0,93 en los tres bancos y un MAE inferior a 0,13 pp en un rango de tipos que va del 0% al 5,5%. Eso equivale a una precisión media superior al 97%. El período test 2024-2025 incluye los ciclos de bajadas de tipos más complejos de la última década.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</si>
</sst>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"/>
  </numFmts>
  <fonts count="2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1F4E79"/>
      <name val="Calibri"/>
    </font>
    <font>
      <sz val="10"/>
      <color rgb="FF000000"/>
      <name val="Calibri"/>
    </font>
    <font>
      <sz val="10"/>
      <color rgb="FF7F6000"/>
      <name val="Calibri"/>
    </font>
    <font>
      <sz val="10"/>
      <color rgb="FF375623"/>
      <name val="Calibri"/>
    </font>
    <font>
      <sz val="10"/>
      <color rgb="FF1F4E79"/>
      <name val="Calibri"/>
    </font>
    <font>
      <sz val="10"/>
      <color rgb="FFC00000"/>
      <name val="Calibri"/>
    </font>
    <font>
      <b/>
      <sz val="10"/>
      <color rgb="FFFFFFFF"/>
      <name val="Calibri"/>
    </font>
    <font>
      <sz val="9"/>
      <color rgb="FF000000"/>
      <name val="Calibri"/>
    </font>
    <font>
      <i/>
      <sz val="9"/>
      <color rgb="FF7F6000"/>
      <name val="Calibri"/>
    </font>
    <font>
      <b/>
      <sz val="12"/>
      <color rgb="FF375623"/>
      <name val="Calibri"/>
    </font>
    <font>
      <b/>
      <sz val="10"/>
      <color rgb="FF000000"/>
      <name val="Calibri"/>
    </font>
    <font>
      <b/>
      <sz val="10"/>
      <color rgb="FF7F6000"/>
      <name val="Calibri"/>
    </font>
    <font>
      <b/>
      <sz val="10"/>
      <color rgb="FF375623"/>
      <name val="Calibri"/>
    </font>
    <font>
      <b/>
      <sz val="12"/>
      <color rgb="FFFFFFFF"/>
      <name val="Calibri"/>
    </font>
    <font>
      <b/>
      <sz val="13"/>
      <color rgb="FFFFFFFF"/>
      <name val="Calibri"/>
    </font>
    <font>
      <sz val="10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11"/>
      <color rgb="FF000000"/>
      <name val="Calibri"/>
    </font>
    <font>
      <i/>
      <sz val="9"/>
      <color rgb="FF375623"/>
      <name val="Calibri"/>
    </font>
    <font>
      <b/>
      <sz val="9"/>
      <color rgb="FF375623"/>
      <name val="Calibri"/>
    </font>
    <font>
      <sz val="8"/>
      <color rgb="FF000000"/>
      <name val="Calibri"/>
    </font>
    <font>
      <sz val="9"/>
      <color rgb="FF7F6000"/>
      <name val="Calibri"/>
    </font>
    <font>
      <b/>
      <sz val="9"/>
      <color rgb="FF7F6000"/>
      <name val="Calibri"/>
    </font>
    <font>
      <sz val="8"/>
      <color rgb="FF375623"/>
      <name val="Calibri"/>
    </font>
    <font>
      <i/>
      <sz val="9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AADAFF"/>
      </patternFill>
    </fill>
    <fill>
      <patternFill patternType="solid">
        <fgColor rgb="FFCC0000"/>
      </patternFill>
    </fill>
    <fill>
      <patternFill patternType="solid">
        <fgColor rgb="FFFFCCCC"/>
      </patternFill>
    </fill>
    <fill>
      <patternFill patternType="solid">
        <fgColor rgb="FF228B22"/>
      </patternFill>
    </fill>
    <fill>
      <patternFill patternType="solid">
        <fgColor rgb="FFCCFFCC"/>
      </patternFill>
    </fill>
    <fill>
      <patternFill patternType="solid">
        <fgColor rgb="FFF2F2F2"/>
      </patternFill>
    </fill>
    <fill>
      <patternFill patternType="solid">
        <fgColor rgb="FF2E8B57"/>
      </patternFill>
    </fill>
    <fill>
      <patternFill patternType="solid">
        <fgColor rgb="FFC0504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164" fontId="14" fillId="6" borderId="1" xfId="0" applyNumberFormat="1" applyFont="1" applyFill="1" applyBorder="1" applyAlignment="1">
      <alignment horizontal="center" vertical="center"/>
    </xf>
    <xf numFmtId="2" fontId="15" fillId="7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2" fontId="17" fillId="9" borderId="2" xfId="0" applyNumberFormat="1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165" fontId="10" fillId="15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65" fontId="23" fillId="7" borderId="1" xfId="0" applyNumberFormat="1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164" fontId="26" fillId="6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2" fontId="16" fillId="9" borderId="2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167" fontId="13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7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16" fillId="13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165" fontId="16" fillId="9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2" fillId="17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8" fillId="4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showGridLines="0" topLeftCell="A2" workbookViewId="0">
      <selection sqref="A1:C1"/>
    </sheetView>
  </sheetViews>
  <sheetFormatPr baseColWidth="10" defaultColWidth="8.7265625" defaultRowHeight="14.5" x14ac:dyDescent="0.35"/>
  <cols>
    <col min="1" max="1" width="3" customWidth="1"/>
    <col min="2" max="2" width="38" customWidth="1"/>
    <col min="3" max="3" width="62" customWidth="1"/>
  </cols>
  <sheetData>
    <row r="1" spans="1:3" ht="38" customHeight="1" x14ac:dyDescent="0.35">
      <c r="A1" s="65" t="s">
        <v>0</v>
      </c>
      <c r="B1" s="62"/>
      <c r="C1" s="62"/>
    </row>
    <row r="2" spans="1:3" ht="22" customHeight="1" x14ac:dyDescent="0.35">
      <c r="A2" s="68" t="s">
        <v>1</v>
      </c>
      <c r="B2" s="62"/>
      <c r="C2" s="62"/>
    </row>
    <row r="4" spans="1:3" ht="20" customHeight="1" x14ac:dyDescent="0.35">
      <c r="B4" s="1" t="s">
        <v>2</v>
      </c>
      <c r="C4" s="1" t="s">
        <v>3</v>
      </c>
    </row>
    <row r="5" spans="1:3" ht="22" customHeight="1" x14ac:dyDescent="0.35">
      <c r="B5" s="2" t="s">
        <v>4</v>
      </c>
      <c r="C5" s="3" t="s">
        <v>5</v>
      </c>
    </row>
    <row r="6" spans="1:3" ht="22" customHeight="1" x14ac:dyDescent="0.35">
      <c r="B6" s="4" t="s">
        <v>6</v>
      </c>
      <c r="C6" s="5" t="s">
        <v>7</v>
      </c>
    </row>
    <row r="7" spans="1:3" ht="22" customHeight="1" x14ac:dyDescent="0.35">
      <c r="B7" s="2" t="s">
        <v>8</v>
      </c>
      <c r="C7" s="3" t="s">
        <v>9</v>
      </c>
    </row>
    <row r="8" spans="1:3" ht="22" customHeight="1" x14ac:dyDescent="0.35">
      <c r="B8" s="4" t="s">
        <v>10</v>
      </c>
      <c r="C8" s="5" t="s">
        <v>11</v>
      </c>
    </row>
    <row r="9" spans="1:3" ht="22" customHeight="1" x14ac:dyDescent="0.35">
      <c r="B9" s="2" t="s">
        <v>12</v>
      </c>
      <c r="C9" s="3" t="s">
        <v>13</v>
      </c>
    </row>
    <row r="10" spans="1:3" ht="22" customHeight="1" x14ac:dyDescent="0.35">
      <c r="B10" s="4" t="s">
        <v>14</v>
      </c>
      <c r="C10" s="5" t="s">
        <v>15</v>
      </c>
    </row>
    <row r="11" spans="1:3" ht="22" customHeight="1" x14ac:dyDescent="0.35">
      <c r="B11" s="2" t="s">
        <v>16</v>
      </c>
      <c r="C11" s="3" t="s">
        <v>17</v>
      </c>
    </row>
    <row r="13" spans="1:3" ht="18" customHeight="1" x14ac:dyDescent="0.35">
      <c r="B13" s="61" t="s">
        <v>18</v>
      </c>
      <c r="C13" s="62"/>
    </row>
    <row r="14" spans="1:3" ht="18" customHeight="1" x14ac:dyDescent="0.35">
      <c r="B14" s="66" t="s">
        <v>19</v>
      </c>
      <c r="C14" s="62"/>
    </row>
    <row r="15" spans="1:3" ht="18" customHeight="1" x14ac:dyDescent="0.35">
      <c r="B15" s="64" t="s">
        <v>20</v>
      </c>
      <c r="C15" s="62"/>
    </row>
    <row r="16" spans="1:3" ht="18" customHeight="1" x14ac:dyDescent="0.35">
      <c r="B16" s="63" t="s">
        <v>21</v>
      </c>
      <c r="C16" s="62"/>
    </row>
    <row r="17" spans="2:3" ht="18" customHeight="1" x14ac:dyDescent="0.35">
      <c r="B17" s="67" t="s">
        <v>22</v>
      </c>
      <c r="C17" s="62"/>
    </row>
  </sheetData>
  <mergeCells count="7">
    <mergeCell ref="B17:C17"/>
    <mergeCell ref="A2:C2"/>
    <mergeCell ref="B13:C13"/>
    <mergeCell ref="B16:C16"/>
    <mergeCell ref="B15:C15"/>
    <mergeCell ref="A1:C1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pane ySplit="2" topLeftCell="A9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3" customWidth="1"/>
    <col min="2" max="2" width="18" customWidth="1"/>
    <col min="3" max="3" width="26" customWidth="1"/>
    <col min="4" max="4" width="30" customWidth="1"/>
    <col min="5" max="5" width="10" customWidth="1"/>
    <col min="6" max="6" width="58" customWidth="1"/>
  </cols>
  <sheetData>
    <row r="1" spans="1:6" ht="38" customHeight="1" x14ac:dyDescent="0.35">
      <c r="A1" s="65" t="s">
        <v>23</v>
      </c>
      <c r="B1" s="62"/>
      <c r="C1" s="62"/>
      <c r="D1" s="62"/>
      <c r="E1" s="62"/>
      <c r="F1" s="62"/>
    </row>
    <row r="2" spans="1:6" ht="20" customHeight="1" x14ac:dyDescent="0.35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</row>
    <row r="3" spans="1:6" ht="42" customHeight="1" x14ac:dyDescent="0.35">
      <c r="A3" s="8">
        <v>1</v>
      </c>
      <c r="B3" s="9" t="s">
        <v>30</v>
      </c>
      <c r="C3" s="8" t="s">
        <v>31</v>
      </c>
      <c r="D3" s="8" t="s">
        <v>32</v>
      </c>
      <c r="E3" s="8" t="s">
        <v>33</v>
      </c>
      <c r="F3" s="10" t="s">
        <v>34</v>
      </c>
    </row>
    <row r="4" spans="1:6" ht="42" customHeight="1" x14ac:dyDescent="0.35">
      <c r="A4" s="11">
        <v>2</v>
      </c>
      <c r="B4" s="12" t="s">
        <v>35</v>
      </c>
      <c r="C4" s="11" t="s">
        <v>36</v>
      </c>
      <c r="D4" s="11" t="s">
        <v>32</v>
      </c>
      <c r="E4" s="11" t="s">
        <v>33</v>
      </c>
      <c r="F4" s="13" t="s">
        <v>37</v>
      </c>
    </row>
    <row r="5" spans="1:6" ht="42" customHeight="1" x14ac:dyDescent="0.35">
      <c r="A5" s="8">
        <v>3</v>
      </c>
      <c r="B5" s="9" t="s">
        <v>38</v>
      </c>
      <c r="C5" s="8" t="s">
        <v>39</v>
      </c>
      <c r="D5" s="8" t="s">
        <v>32</v>
      </c>
      <c r="E5" s="8" t="s">
        <v>40</v>
      </c>
      <c r="F5" s="10" t="s">
        <v>41</v>
      </c>
    </row>
    <row r="6" spans="1:6" ht="42" customHeight="1" x14ac:dyDescent="0.35">
      <c r="A6" s="11">
        <v>4</v>
      </c>
      <c r="B6" s="12" t="s">
        <v>42</v>
      </c>
      <c r="C6" s="11" t="s">
        <v>43</v>
      </c>
      <c r="D6" s="11" t="s">
        <v>32</v>
      </c>
      <c r="E6" s="11" t="s">
        <v>40</v>
      </c>
      <c r="F6" s="13" t="s">
        <v>44</v>
      </c>
    </row>
    <row r="7" spans="1:6" ht="42" customHeight="1" x14ac:dyDescent="0.35">
      <c r="A7" s="8">
        <v>5</v>
      </c>
      <c r="B7" s="9" t="s">
        <v>45</v>
      </c>
      <c r="C7" s="8" t="s">
        <v>46</v>
      </c>
      <c r="D7" s="8" t="s">
        <v>47</v>
      </c>
      <c r="E7" s="8" t="s">
        <v>48</v>
      </c>
      <c r="F7" s="10" t="s">
        <v>49</v>
      </c>
    </row>
    <row r="8" spans="1:6" ht="42" customHeight="1" x14ac:dyDescent="0.35">
      <c r="A8" s="11">
        <v>6</v>
      </c>
      <c r="B8" s="12" t="s">
        <v>50</v>
      </c>
      <c r="C8" s="11" t="s">
        <v>51</v>
      </c>
      <c r="D8" s="11" t="s">
        <v>52</v>
      </c>
      <c r="E8" s="11" t="s">
        <v>40</v>
      </c>
      <c r="F8" s="13" t="s">
        <v>53</v>
      </c>
    </row>
    <row r="9" spans="1:6" ht="42" customHeight="1" x14ac:dyDescent="0.35">
      <c r="A9" s="8">
        <v>7</v>
      </c>
      <c r="B9" s="9" t="s">
        <v>54</v>
      </c>
      <c r="C9" s="8" t="s">
        <v>55</v>
      </c>
      <c r="D9" s="8" t="s">
        <v>56</v>
      </c>
      <c r="E9" s="8" t="s">
        <v>40</v>
      </c>
      <c r="F9" s="10" t="s">
        <v>57</v>
      </c>
    </row>
    <row r="10" spans="1:6" ht="42" customHeight="1" x14ac:dyDescent="0.35">
      <c r="A10" s="11">
        <v>8</v>
      </c>
      <c r="B10" s="12" t="s">
        <v>58</v>
      </c>
      <c r="C10" s="11" t="s">
        <v>59</v>
      </c>
      <c r="D10" s="11" t="s">
        <v>56</v>
      </c>
      <c r="E10" s="11" t="s">
        <v>40</v>
      </c>
      <c r="F10" s="13" t="s">
        <v>60</v>
      </c>
    </row>
    <row r="11" spans="1:6" ht="42" customHeight="1" x14ac:dyDescent="0.35">
      <c r="A11" s="8">
        <v>9</v>
      </c>
      <c r="B11" s="9" t="s">
        <v>61</v>
      </c>
      <c r="C11" s="8" t="s">
        <v>62</v>
      </c>
      <c r="D11" s="8" t="s">
        <v>63</v>
      </c>
      <c r="E11" s="8" t="s">
        <v>40</v>
      </c>
      <c r="F11" s="10" t="s">
        <v>64</v>
      </c>
    </row>
    <row r="12" spans="1:6" ht="42" customHeight="1" x14ac:dyDescent="0.35">
      <c r="A12" s="11">
        <v>10</v>
      </c>
      <c r="B12" s="12" t="s">
        <v>65</v>
      </c>
      <c r="C12" s="11" t="s">
        <v>66</v>
      </c>
      <c r="D12" s="11" t="s">
        <v>32</v>
      </c>
      <c r="E12" s="11" t="s">
        <v>67</v>
      </c>
      <c r="F12" s="13" t="s">
        <v>68</v>
      </c>
    </row>
    <row r="13" spans="1:6" ht="36" customHeight="1" x14ac:dyDescent="0.35">
      <c r="A13" s="69" t="s">
        <v>69</v>
      </c>
      <c r="B13" s="62"/>
      <c r="C13" s="62"/>
      <c r="D13" s="62"/>
      <c r="E13" s="62"/>
      <c r="F13" s="62"/>
    </row>
  </sheetData>
  <mergeCells count="2">
    <mergeCell ref="A13:F1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>
      <pane ySplit="2" topLeftCell="A8" activePane="bottomLeft" state="frozen"/>
      <selection pane="bottomLeft" activeCell="D21" sqref="D21"/>
    </sheetView>
  </sheetViews>
  <sheetFormatPr baseColWidth="10" defaultColWidth="8.7265625" defaultRowHeight="14.5" x14ac:dyDescent="0.35"/>
  <cols>
    <col min="1" max="1" width="3" customWidth="1"/>
    <col min="2" max="2" width="36" customWidth="1"/>
    <col min="3" max="5" width="16" customWidth="1"/>
  </cols>
  <sheetData>
    <row r="1" spans="1:5" ht="38" customHeight="1" x14ac:dyDescent="0.35">
      <c r="A1" s="65" t="s">
        <v>70</v>
      </c>
      <c r="B1" s="62"/>
      <c r="C1" s="62"/>
      <c r="D1" s="62"/>
      <c r="E1" s="62"/>
    </row>
    <row r="2" spans="1:5" ht="36" customHeight="1" x14ac:dyDescent="0.35">
      <c r="A2" s="69" t="s">
        <v>71</v>
      </c>
      <c r="B2" s="62"/>
      <c r="C2" s="62"/>
      <c r="D2" s="62"/>
      <c r="E2" s="62"/>
    </row>
    <row r="3" spans="1:5" ht="28" customHeight="1" x14ac:dyDescent="0.35">
      <c r="B3" s="70" t="s">
        <v>72</v>
      </c>
      <c r="C3" s="62"/>
      <c r="D3" s="62"/>
      <c r="E3" s="62"/>
    </row>
    <row r="5" spans="1:5" ht="22" customHeight="1" x14ac:dyDescent="0.35">
      <c r="A5" s="68" t="s">
        <v>73</v>
      </c>
      <c r="B5" s="62"/>
      <c r="C5" s="62"/>
      <c r="D5" s="62"/>
      <c r="E5" s="62"/>
    </row>
    <row r="6" spans="1:5" ht="18" customHeight="1" x14ac:dyDescent="0.35">
      <c r="B6" s="7" t="s">
        <v>74</v>
      </c>
      <c r="C6" s="7" t="s">
        <v>75</v>
      </c>
      <c r="D6" s="7" t="s">
        <v>76</v>
      </c>
      <c r="E6" s="7" t="s">
        <v>77</v>
      </c>
    </row>
    <row r="7" spans="1:5" ht="20" customHeight="1" x14ac:dyDescent="0.35">
      <c r="B7" s="14" t="s">
        <v>78</v>
      </c>
      <c r="C7" s="15">
        <v>1</v>
      </c>
      <c r="D7" s="15">
        <v>1.5</v>
      </c>
      <c r="E7" s="15">
        <v>2.5</v>
      </c>
    </row>
    <row r="8" spans="1:5" ht="20" customHeight="1" x14ac:dyDescent="0.35">
      <c r="B8" s="16" t="s">
        <v>79</v>
      </c>
      <c r="C8" s="17">
        <v>2</v>
      </c>
      <c r="D8" s="17">
        <v>2</v>
      </c>
      <c r="E8" s="17">
        <v>2</v>
      </c>
    </row>
    <row r="9" spans="1:5" ht="20" customHeight="1" x14ac:dyDescent="0.35">
      <c r="B9" s="14" t="s">
        <v>80</v>
      </c>
      <c r="C9" s="15">
        <v>1.5</v>
      </c>
      <c r="D9" s="15">
        <v>2</v>
      </c>
      <c r="E9" s="15">
        <v>2</v>
      </c>
    </row>
    <row r="11" spans="1:5" ht="22" customHeight="1" x14ac:dyDescent="0.35">
      <c r="A11" s="68" t="s">
        <v>81</v>
      </c>
      <c r="B11" s="62"/>
      <c r="C11" s="62"/>
      <c r="D11" s="62"/>
      <c r="E11" s="62"/>
    </row>
    <row r="12" spans="1:5" ht="18" customHeight="1" x14ac:dyDescent="0.35">
      <c r="B12" s="7" t="s">
        <v>25</v>
      </c>
      <c r="C12" s="7" t="s">
        <v>75</v>
      </c>
      <c r="D12" s="7" t="s">
        <v>76</v>
      </c>
      <c r="E12" s="7" t="s">
        <v>77</v>
      </c>
    </row>
    <row r="13" spans="1:5" ht="24" customHeight="1" x14ac:dyDescent="0.35">
      <c r="B13" s="18" t="s">
        <v>82</v>
      </c>
      <c r="C13" s="19">
        <v>2.2999999999999998</v>
      </c>
      <c r="D13" s="19">
        <v>2.8</v>
      </c>
      <c r="E13" s="19">
        <v>2.5</v>
      </c>
    </row>
    <row r="14" spans="1:5" ht="24" customHeight="1" x14ac:dyDescent="0.35">
      <c r="B14" s="18" t="s">
        <v>83</v>
      </c>
      <c r="C14" s="19">
        <v>1.4</v>
      </c>
      <c r="D14" s="19">
        <v>1.2</v>
      </c>
      <c r="E14" s="19">
        <v>2.2999999999999998</v>
      </c>
    </row>
    <row r="15" spans="1:5" ht="24" customHeight="1" x14ac:dyDescent="0.35">
      <c r="B15" s="6" t="s">
        <v>84</v>
      </c>
      <c r="C15" s="20">
        <f t="shared" ref="C15:E16" si="0">C13-C8</f>
        <v>0.29999999999999982</v>
      </c>
      <c r="D15" s="20">
        <f t="shared" si="0"/>
        <v>0.79999999999999982</v>
      </c>
      <c r="E15" s="20">
        <f t="shared" si="0"/>
        <v>0.5</v>
      </c>
    </row>
    <row r="16" spans="1:5" ht="24" customHeight="1" x14ac:dyDescent="0.35">
      <c r="B16" s="6" t="s">
        <v>85</v>
      </c>
      <c r="C16" s="20">
        <f t="shared" si="0"/>
        <v>-0.10000000000000009</v>
      </c>
      <c r="D16" s="20">
        <f t="shared" si="0"/>
        <v>-0.8</v>
      </c>
      <c r="E16" s="20">
        <f t="shared" si="0"/>
        <v>0.29999999999999982</v>
      </c>
    </row>
    <row r="17" spans="1:5" ht="24" customHeight="1" x14ac:dyDescent="0.35">
      <c r="B17" s="6" t="s">
        <v>86</v>
      </c>
      <c r="C17" s="20">
        <f>C7+1.5*C15+0.5*C16</f>
        <v>1.3999999999999997</v>
      </c>
      <c r="D17" s="20">
        <f>D7+1.5*D15+0.5*D16</f>
        <v>2.2999999999999998</v>
      </c>
      <c r="E17" s="20">
        <f>E7+1.5*E15+0.5*E16</f>
        <v>3.4</v>
      </c>
    </row>
    <row r="18" spans="1:5" ht="32" customHeight="1" x14ac:dyDescent="0.35">
      <c r="B18" s="21" t="s">
        <v>87</v>
      </c>
      <c r="C18" s="22">
        <f>MAX(0,C17)</f>
        <v>1.3999999999999997</v>
      </c>
      <c r="D18" s="22">
        <f>MAX(0,D17)</f>
        <v>2.2999999999999998</v>
      </c>
      <c r="E18" s="22">
        <f>MAX(0,E17)</f>
        <v>3.4</v>
      </c>
    </row>
    <row r="20" spans="1:5" ht="36" customHeight="1" x14ac:dyDescent="0.35">
      <c r="A20" s="69" t="s">
        <v>88</v>
      </c>
      <c r="B20" s="62"/>
      <c r="C20" s="62"/>
      <c r="D20" s="62"/>
      <c r="E20" s="62"/>
    </row>
  </sheetData>
  <mergeCells count="6">
    <mergeCell ref="A20:E20"/>
    <mergeCell ref="A2:E2"/>
    <mergeCell ref="A11:E11"/>
    <mergeCell ref="A1:E1"/>
    <mergeCell ref="A5:E5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workbookViewId="0">
      <pane ySplit="2" topLeftCell="A10" activePane="bottomLeft" state="frozen"/>
      <selection pane="bottomLeft" activeCell="C5" sqref="C5"/>
    </sheetView>
  </sheetViews>
  <sheetFormatPr baseColWidth="10" defaultColWidth="8.7265625" defaultRowHeight="14.5" x14ac:dyDescent="0.35"/>
  <cols>
    <col min="1" max="1" width="3" customWidth="1"/>
    <col min="2" max="2" width="22" customWidth="1"/>
    <col min="3" max="5" width="18" customWidth="1"/>
    <col min="6" max="6" width="5" customWidth="1"/>
    <col min="7" max="7" width="40" customWidth="1"/>
  </cols>
  <sheetData>
    <row r="1" spans="1:7" ht="38" customHeight="1" x14ac:dyDescent="0.35">
      <c r="A1" s="65" t="s">
        <v>89</v>
      </c>
      <c r="B1" s="62"/>
      <c r="C1" s="62"/>
      <c r="D1" s="62"/>
      <c r="E1" s="62"/>
      <c r="F1" s="62"/>
      <c r="G1" s="62"/>
    </row>
    <row r="2" spans="1:7" ht="36" customHeight="1" x14ac:dyDescent="0.35">
      <c r="A2" s="69" t="s">
        <v>90</v>
      </c>
      <c r="B2" s="62"/>
      <c r="C2" s="62"/>
      <c r="D2" s="62"/>
      <c r="E2" s="62"/>
      <c r="F2" s="62"/>
      <c r="G2" s="62"/>
    </row>
    <row r="4" spans="1:7" ht="20" customHeight="1" x14ac:dyDescent="0.35">
      <c r="B4" s="7" t="s">
        <v>25</v>
      </c>
      <c r="C4" s="7" t="s">
        <v>91</v>
      </c>
      <c r="D4" s="7" t="s">
        <v>92</v>
      </c>
      <c r="E4" s="7" t="s">
        <v>93</v>
      </c>
      <c r="G4" s="7" t="s">
        <v>94</v>
      </c>
    </row>
    <row r="5" spans="1:7" ht="22" customHeight="1" x14ac:dyDescent="0.35">
      <c r="B5" s="2" t="s">
        <v>50</v>
      </c>
      <c r="C5" s="23">
        <v>0.20899999999999999</v>
      </c>
      <c r="D5" s="23">
        <v>0.318</v>
      </c>
      <c r="E5" s="24">
        <v>7.9000000000000001E-2</v>
      </c>
      <c r="G5" s="10" t="s">
        <v>95</v>
      </c>
    </row>
    <row r="6" spans="1:7" ht="22" customHeight="1" x14ac:dyDescent="0.35">
      <c r="B6" s="4" t="s">
        <v>65</v>
      </c>
      <c r="C6" s="24">
        <v>0.15</v>
      </c>
      <c r="D6" s="24">
        <v>0.106</v>
      </c>
      <c r="E6" s="24">
        <v>0.14099999999999999</v>
      </c>
      <c r="G6" s="13" t="s">
        <v>96</v>
      </c>
    </row>
    <row r="7" spans="1:7" ht="22" customHeight="1" x14ac:dyDescent="0.35">
      <c r="B7" s="2" t="s">
        <v>42</v>
      </c>
      <c r="C7" s="24">
        <v>0.115</v>
      </c>
      <c r="D7" s="24">
        <v>5.1999999999999998E-2</v>
      </c>
      <c r="E7" s="24">
        <v>8.900000000000001E-2</v>
      </c>
      <c r="G7" s="10" t="s">
        <v>97</v>
      </c>
    </row>
    <row r="8" spans="1:7" ht="22" customHeight="1" x14ac:dyDescent="0.35">
      <c r="B8" s="4" t="s">
        <v>98</v>
      </c>
      <c r="C8" s="24">
        <v>0.112</v>
      </c>
      <c r="D8" s="24">
        <v>0.109</v>
      </c>
      <c r="E8" s="24">
        <v>8.900000000000001E-2</v>
      </c>
      <c r="G8" s="13" t="s">
        <v>99</v>
      </c>
    </row>
    <row r="9" spans="1:7" ht="22" customHeight="1" x14ac:dyDescent="0.35">
      <c r="B9" s="2" t="s">
        <v>58</v>
      </c>
      <c r="C9" s="24">
        <v>0.11</v>
      </c>
      <c r="D9" s="24">
        <v>6.9000000000000006E-2</v>
      </c>
      <c r="E9" s="24">
        <v>7.9000000000000001E-2</v>
      </c>
      <c r="G9" s="10" t="s">
        <v>100</v>
      </c>
    </row>
    <row r="10" spans="1:7" ht="22" customHeight="1" x14ac:dyDescent="0.35">
      <c r="B10" s="4" t="s">
        <v>35</v>
      </c>
      <c r="C10" s="24">
        <v>8.8000000000000009E-2</v>
      </c>
      <c r="D10" s="24">
        <v>5.5E-2</v>
      </c>
      <c r="E10" s="23">
        <v>0.17799999999999999</v>
      </c>
      <c r="G10" s="13" t="s">
        <v>101</v>
      </c>
    </row>
    <row r="11" spans="1:7" ht="22" customHeight="1" x14ac:dyDescent="0.35">
      <c r="B11" s="2" t="s">
        <v>30</v>
      </c>
      <c r="C11" s="24">
        <v>8.5999999999999993E-2</v>
      </c>
      <c r="D11" s="24">
        <v>8.6999999999999994E-2</v>
      </c>
      <c r="E11" s="23">
        <v>0.19700000000000001</v>
      </c>
      <c r="G11" s="10" t="s">
        <v>102</v>
      </c>
    </row>
    <row r="12" spans="1:7" ht="22" customHeight="1" x14ac:dyDescent="0.35">
      <c r="B12" s="4" t="s">
        <v>61</v>
      </c>
      <c r="C12" s="24">
        <v>6.9000000000000006E-2</v>
      </c>
      <c r="D12" s="24">
        <v>0.14299999999999999</v>
      </c>
      <c r="E12" s="24">
        <v>6.5000000000000002E-2</v>
      </c>
      <c r="G12" s="13" t="s">
        <v>103</v>
      </c>
    </row>
    <row r="13" spans="1:7" ht="22" customHeight="1" x14ac:dyDescent="0.35">
      <c r="B13" s="2" t="s">
        <v>54</v>
      </c>
      <c r="C13" s="24">
        <v>0.06</v>
      </c>
      <c r="D13" s="24">
        <v>0.06</v>
      </c>
      <c r="E13" s="24">
        <v>8.199999999999999E-2</v>
      </c>
      <c r="G13" s="10" t="s">
        <v>104</v>
      </c>
    </row>
    <row r="14" spans="1:7" ht="22" customHeight="1" x14ac:dyDescent="0.35">
      <c r="B14" s="4" t="s">
        <v>45</v>
      </c>
      <c r="C14" s="24">
        <v>0</v>
      </c>
      <c r="D14" s="24">
        <v>0</v>
      </c>
      <c r="E14" s="24">
        <v>0</v>
      </c>
      <c r="G14" s="13" t="s">
        <v>105</v>
      </c>
    </row>
    <row r="15" spans="1:7" ht="22" customHeight="1" x14ac:dyDescent="0.35">
      <c r="B15" s="25" t="s">
        <v>106</v>
      </c>
      <c r="C15" s="26">
        <f>SUM(C5:C14)</f>
        <v>0.99899999999999989</v>
      </c>
      <c r="D15" s="26">
        <f>SUM(D5:D14)</f>
        <v>0.99899999999999989</v>
      </c>
      <c r="E15" s="26">
        <f>SUM(E5:E14)</f>
        <v>0.999</v>
      </c>
      <c r="G15" s="27" t="s">
        <v>107</v>
      </c>
    </row>
    <row r="17" spans="1:7" ht="36" customHeight="1" x14ac:dyDescent="0.35">
      <c r="A17" s="69" t="s">
        <v>108</v>
      </c>
      <c r="B17" s="62"/>
      <c r="C17" s="62"/>
      <c r="D17" s="62"/>
      <c r="E17" s="62"/>
      <c r="F17" s="62"/>
      <c r="G17" s="62"/>
    </row>
  </sheetData>
  <mergeCells count="3">
    <mergeCell ref="A2:G2"/>
    <mergeCell ref="A1:G1"/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showGridLines="0" workbookViewId="0">
      <pane ySplit="3" topLeftCell="A28" activePane="bottomLeft" state="frozen"/>
      <selection pane="bottomLeft" activeCell="C5" sqref="C5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4" width="15" customWidth="1"/>
    <col min="5" max="6" width="14" customWidth="1"/>
    <col min="7" max="7" width="5" customWidth="1"/>
    <col min="8" max="8" width="14" customWidth="1"/>
    <col min="9" max="10" width="15" customWidth="1"/>
    <col min="11" max="12" width="14" customWidth="1"/>
    <col min="13" max="13" width="5" customWidth="1"/>
    <col min="14" max="14" width="14" customWidth="1"/>
    <col min="15" max="16" width="15" customWidth="1"/>
    <col min="17" max="18" width="14" customWidth="1"/>
  </cols>
  <sheetData>
    <row r="1" spans="1:19" ht="38" customHeight="1" x14ac:dyDescent="0.35">
      <c r="A1" s="65" t="s">
        <v>109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ht="36" customHeight="1" x14ac:dyDescent="0.35">
      <c r="A2" s="69" t="s">
        <v>110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9" ht="22" customHeight="1" x14ac:dyDescent="0.35">
      <c r="B3" s="71" t="s">
        <v>111</v>
      </c>
      <c r="C3" s="62"/>
      <c r="D3" s="62"/>
      <c r="E3" s="62"/>
      <c r="F3" s="62"/>
      <c r="G3" s="62"/>
      <c r="H3" s="74" t="s">
        <v>112</v>
      </c>
      <c r="I3" s="62"/>
      <c r="J3" s="62"/>
      <c r="K3" s="62"/>
      <c r="L3" s="62"/>
      <c r="M3" s="62"/>
      <c r="N3" s="73" t="s">
        <v>113</v>
      </c>
      <c r="O3" s="62"/>
      <c r="P3" s="62"/>
      <c r="Q3" s="62"/>
      <c r="R3" s="62"/>
      <c r="S3" s="62"/>
    </row>
    <row r="4" spans="1:19" ht="32" customHeight="1" x14ac:dyDescent="0.35">
      <c r="B4" s="28" t="s">
        <v>114</v>
      </c>
      <c r="C4" s="28" t="s">
        <v>115</v>
      </c>
      <c r="D4" s="28" t="s">
        <v>116</v>
      </c>
      <c r="E4" s="28" t="s">
        <v>117</v>
      </c>
      <c r="F4" s="28" t="s">
        <v>118</v>
      </c>
      <c r="G4" s="28" t="s">
        <v>119</v>
      </c>
      <c r="H4" s="29" t="s">
        <v>114</v>
      </c>
      <c r="I4" s="29" t="s">
        <v>115</v>
      </c>
      <c r="J4" s="29" t="s">
        <v>116</v>
      </c>
      <c r="K4" s="29" t="s">
        <v>117</v>
      </c>
      <c r="L4" s="29" t="s">
        <v>118</v>
      </c>
      <c r="M4" s="29" t="s">
        <v>119</v>
      </c>
      <c r="N4" s="30" t="s">
        <v>114</v>
      </c>
      <c r="O4" s="30" t="s">
        <v>115</v>
      </c>
      <c r="P4" s="30" t="s">
        <v>116</v>
      </c>
      <c r="Q4" s="30" t="s">
        <v>117</v>
      </c>
      <c r="R4" s="30" t="s">
        <v>118</v>
      </c>
      <c r="S4" s="30" t="s">
        <v>119</v>
      </c>
    </row>
    <row r="5" spans="1:19" ht="18" customHeight="1" x14ac:dyDescent="0.35">
      <c r="B5" s="31" t="s">
        <v>120</v>
      </c>
      <c r="C5" s="32">
        <v>4</v>
      </c>
      <c r="D5" s="32">
        <v>4.0335000000000001</v>
      </c>
      <c r="E5" s="33">
        <f t="shared" ref="E5:E28" si="0">C5-D5</f>
        <v>-3.3500000000000085E-2</v>
      </c>
      <c r="F5" s="33">
        <f t="shared" ref="F5:F28" si="1">ABS(E5)</f>
        <v>3.3500000000000085E-2</v>
      </c>
      <c r="G5" s="34" t="s">
        <v>121</v>
      </c>
      <c r="H5" s="31" t="s">
        <v>120</v>
      </c>
      <c r="I5" s="32">
        <v>5</v>
      </c>
      <c r="J5" s="32">
        <v>5.0128000000000004</v>
      </c>
      <c r="K5" s="33">
        <f t="shared" ref="K5:K28" si="2">I5-J5</f>
        <v>-1.2800000000000367E-2</v>
      </c>
      <c r="L5" s="33">
        <f t="shared" ref="L5:L28" si="3">ABS(K5)</f>
        <v>1.2800000000000367E-2</v>
      </c>
      <c r="M5" s="34" t="s">
        <v>121</v>
      </c>
      <c r="N5" s="31" t="s">
        <v>120</v>
      </c>
      <c r="O5" s="32">
        <v>5.33</v>
      </c>
      <c r="P5" s="32">
        <v>5.3578999999999999</v>
      </c>
      <c r="Q5" s="33">
        <f t="shared" ref="Q5:Q28" si="4">O5-P5</f>
        <v>-2.7899999999999814E-2</v>
      </c>
      <c r="R5" s="33">
        <f t="shared" ref="R5:R28" si="5">ABS(Q5)</f>
        <v>2.7899999999999814E-2</v>
      </c>
      <c r="S5" s="34" t="s">
        <v>121</v>
      </c>
    </row>
    <row r="6" spans="1:19" ht="18" customHeight="1" x14ac:dyDescent="0.35">
      <c r="B6" s="35" t="s">
        <v>122</v>
      </c>
      <c r="C6" s="32">
        <v>4</v>
      </c>
      <c r="D6" s="32">
        <v>4.0338000000000003</v>
      </c>
      <c r="E6" s="33">
        <f t="shared" si="0"/>
        <v>-3.3800000000000274E-2</v>
      </c>
      <c r="F6" s="33">
        <f t="shared" si="1"/>
        <v>3.3800000000000274E-2</v>
      </c>
      <c r="G6" s="34" t="s">
        <v>121</v>
      </c>
      <c r="H6" s="35" t="s">
        <v>122</v>
      </c>
      <c r="I6" s="32">
        <v>5</v>
      </c>
      <c r="J6" s="32">
        <v>5.0110999999999999</v>
      </c>
      <c r="K6" s="33">
        <f t="shared" si="2"/>
        <v>-1.1099999999999888E-2</v>
      </c>
      <c r="L6" s="33">
        <f t="shared" si="3"/>
        <v>1.1099999999999888E-2</v>
      </c>
      <c r="M6" s="34" t="s">
        <v>121</v>
      </c>
      <c r="N6" s="35" t="s">
        <v>122</v>
      </c>
      <c r="O6" s="32">
        <v>5.33</v>
      </c>
      <c r="P6" s="32">
        <v>5.3570000000000002</v>
      </c>
      <c r="Q6" s="33">
        <f t="shared" si="4"/>
        <v>-2.7000000000000135E-2</v>
      </c>
      <c r="R6" s="33">
        <f t="shared" si="5"/>
        <v>2.7000000000000135E-2</v>
      </c>
      <c r="S6" s="34" t="s">
        <v>121</v>
      </c>
    </row>
    <row r="7" spans="1:19" ht="18" customHeight="1" x14ac:dyDescent="0.35">
      <c r="B7" s="31" t="s">
        <v>123</v>
      </c>
      <c r="C7" s="32">
        <v>4</v>
      </c>
      <c r="D7" s="32">
        <v>4.0339</v>
      </c>
      <c r="E7" s="33">
        <f t="shared" si="0"/>
        <v>-3.3900000000000041E-2</v>
      </c>
      <c r="F7" s="33">
        <f t="shared" si="1"/>
        <v>3.3900000000000041E-2</v>
      </c>
      <c r="G7" s="34" t="s">
        <v>121</v>
      </c>
      <c r="H7" s="31" t="s">
        <v>123</v>
      </c>
      <c r="I7" s="32">
        <v>5</v>
      </c>
      <c r="J7" s="32">
        <v>5.0117000000000003</v>
      </c>
      <c r="K7" s="33">
        <f t="shared" si="2"/>
        <v>-1.1700000000000266E-2</v>
      </c>
      <c r="L7" s="33">
        <f t="shared" si="3"/>
        <v>1.1700000000000266E-2</v>
      </c>
      <c r="M7" s="34" t="s">
        <v>121</v>
      </c>
      <c r="N7" s="31" t="s">
        <v>123</v>
      </c>
      <c r="O7" s="32">
        <v>5.33</v>
      </c>
      <c r="P7" s="32">
        <v>5.37</v>
      </c>
      <c r="Q7" s="33">
        <f t="shared" si="4"/>
        <v>-4.0000000000000036E-2</v>
      </c>
      <c r="R7" s="33">
        <f t="shared" si="5"/>
        <v>4.0000000000000036E-2</v>
      </c>
      <c r="S7" s="34" t="s">
        <v>121</v>
      </c>
    </row>
    <row r="8" spans="1:19" ht="18" customHeight="1" x14ac:dyDescent="0.35">
      <c r="B8" s="35" t="s">
        <v>124</v>
      </c>
      <c r="C8" s="32">
        <v>4</v>
      </c>
      <c r="D8" s="32">
        <v>4.0326000000000004</v>
      </c>
      <c r="E8" s="33">
        <f t="shared" si="0"/>
        <v>-3.2600000000000406E-2</v>
      </c>
      <c r="F8" s="33">
        <f t="shared" si="1"/>
        <v>3.2600000000000406E-2</v>
      </c>
      <c r="G8" s="34" t="s">
        <v>121</v>
      </c>
      <c r="H8" s="35" t="s">
        <v>124</v>
      </c>
      <c r="I8" s="32">
        <v>5</v>
      </c>
      <c r="J8" s="32">
        <v>5.0122</v>
      </c>
      <c r="K8" s="33">
        <f t="shared" si="2"/>
        <v>-1.2199999999999989E-2</v>
      </c>
      <c r="L8" s="33">
        <f t="shared" si="3"/>
        <v>1.2199999999999989E-2</v>
      </c>
      <c r="M8" s="34" t="s">
        <v>121</v>
      </c>
      <c r="N8" s="35" t="s">
        <v>124</v>
      </c>
      <c r="O8" s="32">
        <v>5.33</v>
      </c>
      <c r="P8" s="32">
        <v>5.3533999999999997</v>
      </c>
      <c r="Q8" s="33">
        <f t="shared" si="4"/>
        <v>-2.3399999999999643E-2</v>
      </c>
      <c r="R8" s="33">
        <f t="shared" si="5"/>
        <v>2.3399999999999643E-2</v>
      </c>
      <c r="S8" s="34" t="s">
        <v>121</v>
      </c>
    </row>
    <row r="9" spans="1:19" ht="18" customHeight="1" x14ac:dyDescent="0.35">
      <c r="B9" s="31" t="s">
        <v>125</v>
      </c>
      <c r="C9" s="32">
        <v>3.8416999999999999</v>
      </c>
      <c r="D9" s="32">
        <v>4.0327000000000002</v>
      </c>
      <c r="E9" s="33">
        <f t="shared" si="0"/>
        <v>-0.19100000000000028</v>
      </c>
      <c r="F9" s="33">
        <f t="shared" si="1"/>
        <v>0.19100000000000028</v>
      </c>
      <c r="G9" s="36" t="s">
        <v>126</v>
      </c>
      <c r="H9" s="31" t="s">
        <v>125</v>
      </c>
      <c r="I9" s="32">
        <v>5</v>
      </c>
      <c r="J9" s="32">
        <v>5.0122</v>
      </c>
      <c r="K9" s="33">
        <f t="shared" si="2"/>
        <v>-1.2199999999999989E-2</v>
      </c>
      <c r="L9" s="33">
        <f t="shared" si="3"/>
        <v>1.2199999999999989E-2</v>
      </c>
      <c r="M9" s="34" t="s">
        <v>121</v>
      </c>
      <c r="N9" s="31" t="s">
        <v>125</v>
      </c>
      <c r="O9" s="32">
        <v>5.33</v>
      </c>
      <c r="P9" s="32">
        <v>5.3728999999999996</v>
      </c>
      <c r="Q9" s="33">
        <f t="shared" si="4"/>
        <v>-4.2899999999999494E-2</v>
      </c>
      <c r="R9" s="33">
        <f t="shared" si="5"/>
        <v>4.2899999999999494E-2</v>
      </c>
      <c r="S9" s="34" t="s">
        <v>121</v>
      </c>
    </row>
    <row r="10" spans="1:19" ht="18" customHeight="1" x14ac:dyDescent="0.35">
      <c r="B10" s="35" t="s">
        <v>127</v>
      </c>
      <c r="C10" s="32">
        <v>3.75</v>
      </c>
      <c r="D10" s="32">
        <v>3.8742999999999999</v>
      </c>
      <c r="E10" s="33">
        <f t="shared" si="0"/>
        <v>-0.12429999999999986</v>
      </c>
      <c r="F10" s="33">
        <f t="shared" si="1"/>
        <v>0.12429999999999986</v>
      </c>
      <c r="G10" s="34" t="s">
        <v>121</v>
      </c>
      <c r="H10" s="35" t="s">
        <v>127</v>
      </c>
      <c r="I10" s="32">
        <v>5</v>
      </c>
      <c r="J10" s="32">
        <v>5.0126999999999997</v>
      </c>
      <c r="K10" s="33">
        <f t="shared" si="2"/>
        <v>-1.2699999999999712E-2</v>
      </c>
      <c r="L10" s="33">
        <f t="shared" si="3"/>
        <v>1.2699999999999712E-2</v>
      </c>
      <c r="M10" s="34" t="s">
        <v>121</v>
      </c>
      <c r="N10" s="35" t="s">
        <v>127</v>
      </c>
      <c r="O10" s="32">
        <v>5.33</v>
      </c>
      <c r="P10" s="32">
        <v>5.3747999999999996</v>
      </c>
      <c r="Q10" s="33">
        <f t="shared" si="4"/>
        <v>-4.4799999999999507E-2</v>
      </c>
      <c r="R10" s="33">
        <f t="shared" si="5"/>
        <v>4.4799999999999507E-2</v>
      </c>
      <c r="S10" s="34" t="s">
        <v>121</v>
      </c>
    </row>
    <row r="11" spans="1:19" ht="18" customHeight="1" x14ac:dyDescent="0.35">
      <c r="B11" s="31" t="s">
        <v>128</v>
      </c>
      <c r="C11" s="32">
        <v>3.75</v>
      </c>
      <c r="D11" s="32">
        <v>3.7823000000000002</v>
      </c>
      <c r="E11" s="33">
        <f t="shared" si="0"/>
        <v>-3.2300000000000217E-2</v>
      </c>
      <c r="F11" s="33">
        <f t="shared" si="1"/>
        <v>3.2300000000000217E-2</v>
      </c>
      <c r="G11" s="34" t="s">
        <v>121</v>
      </c>
      <c r="H11" s="31" t="s">
        <v>128</v>
      </c>
      <c r="I11" s="32">
        <v>5</v>
      </c>
      <c r="J11" s="32">
        <v>5.0122999999999998</v>
      </c>
      <c r="K11" s="33">
        <f t="shared" si="2"/>
        <v>-1.2299999999999756E-2</v>
      </c>
      <c r="L11" s="33">
        <f t="shared" si="3"/>
        <v>1.2299999999999756E-2</v>
      </c>
      <c r="M11" s="34" t="s">
        <v>121</v>
      </c>
      <c r="N11" s="31" t="s">
        <v>128</v>
      </c>
      <c r="O11" s="32">
        <v>5.33</v>
      </c>
      <c r="P11" s="32">
        <v>5.3478000000000003</v>
      </c>
      <c r="Q11" s="33">
        <f t="shared" si="4"/>
        <v>-1.780000000000026E-2</v>
      </c>
      <c r="R11" s="33">
        <f t="shared" si="5"/>
        <v>1.780000000000026E-2</v>
      </c>
      <c r="S11" s="34" t="s">
        <v>121</v>
      </c>
    </row>
    <row r="12" spans="1:19" ht="18" customHeight="1" x14ac:dyDescent="0.35">
      <c r="B12" s="35" t="s">
        <v>129</v>
      </c>
      <c r="C12" s="32">
        <v>3.6417000000000002</v>
      </c>
      <c r="D12" s="32">
        <v>3.7812999999999999</v>
      </c>
      <c r="E12" s="33">
        <f t="shared" si="0"/>
        <v>-0.13959999999999972</v>
      </c>
      <c r="F12" s="33">
        <f t="shared" si="1"/>
        <v>0.13959999999999972</v>
      </c>
      <c r="G12" s="34" t="s">
        <v>121</v>
      </c>
      <c r="H12" s="35" t="s">
        <v>129</v>
      </c>
      <c r="I12" s="32">
        <v>5</v>
      </c>
      <c r="J12" s="32">
        <v>5.0129000000000001</v>
      </c>
      <c r="K12" s="33">
        <f t="shared" si="2"/>
        <v>-1.2900000000000134E-2</v>
      </c>
      <c r="L12" s="33">
        <f t="shared" si="3"/>
        <v>1.2900000000000134E-2</v>
      </c>
      <c r="M12" s="34" t="s">
        <v>121</v>
      </c>
      <c r="N12" s="35" t="s">
        <v>129</v>
      </c>
      <c r="O12" s="32">
        <v>5.13</v>
      </c>
      <c r="P12" s="32">
        <v>5.3562000000000003</v>
      </c>
      <c r="Q12" s="33">
        <f t="shared" si="4"/>
        <v>-0.2262000000000004</v>
      </c>
      <c r="R12" s="33">
        <f t="shared" si="5"/>
        <v>0.2262000000000004</v>
      </c>
      <c r="S12" s="36" t="s">
        <v>126</v>
      </c>
    </row>
    <row r="13" spans="1:19" ht="18" customHeight="1" x14ac:dyDescent="0.35">
      <c r="B13" s="31" t="s">
        <v>130</v>
      </c>
      <c r="C13" s="32">
        <v>3.4274</v>
      </c>
      <c r="D13" s="32">
        <v>3.6724000000000001</v>
      </c>
      <c r="E13" s="33">
        <f t="shared" si="0"/>
        <v>-0.24500000000000011</v>
      </c>
      <c r="F13" s="33">
        <f t="shared" si="1"/>
        <v>0.24500000000000011</v>
      </c>
      <c r="G13" s="36" t="s">
        <v>126</v>
      </c>
      <c r="H13" s="31" t="s">
        <v>130</v>
      </c>
      <c r="I13" s="32">
        <v>5</v>
      </c>
      <c r="J13" s="32">
        <v>5.0125999999999999</v>
      </c>
      <c r="K13" s="33">
        <f t="shared" si="2"/>
        <v>-1.2599999999999945E-2</v>
      </c>
      <c r="L13" s="33">
        <f t="shared" si="3"/>
        <v>1.2599999999999945E-2</v>
      </c>
      <c r="M13" s="34" t="s">
        <v>121</v>
      </c>
      <c r="N13" s="31" t="s">
        <v>130</v>
      </c>
      <c r="O13" s="32">
        <v>4.83</v>
      </c>
      <c r="P13" s="32">
        <v>5.1471</v>
      </c>
      <c r="Q13" s="33">
        <f t="shared" si="4"/>
        <v>-0.31709999999999994</v>
      </c>
      <c r="R13" s="33">
        <f t="shared" si="5"/>
        <v>0.31709999999999994</v>
      </c>
      <c r="S13" s="36" t="s">
        <v>126</v>
      </c>
    </row>
    <row r="14" spans="1:19" ht="18" customHeight="1" x14ac:dyDescent="0.35">
      <c r="B14" s="35" t="s">
        <v>131</v>
      </c>
      <c r="C14" s="32">
        <v>3.25</v>
      </c>
      <c r="D14" s="32">
        <v>3.4578000000000002</v>
      </c>
      <c r="E14" s="33">
        <f t="shared" si="0"/>
        <v>-0.20780000000000021</v>
      </c>
      <c r="F14" s="33">
        <f t="shared" si="1"/>
        <v>0.20780000000000021</v>
      </c>
      <c r="G14" s="36" t="s">
        <v>126</v>
      </c>
      <c r="H14" s="35" t="s">
        <v>131</v>
      </c>
      <c r="I14" s="32">
        <v>4.8</v>
      </c>
      <c r="J14" s="32">
        <v>5.0026000000000002</v>
      </c>
      <c r="K14" s="33">
        <f t="shared" si="2"/>
        <v>-0.20260000000000034</v>
      </c>
      <c r="L14" s="33">
        <f t="shared" si="3"/>
        <v>0.20260000000000034</v>
      </c>
      <c r="M14" s="36" t="s">
        <v>126</v>
      </c>
      <c r="N14" s="35" t="s">
        <v>131</v>
      </c>
      <c r="O14" s="32">
        <v>4.6383000000000001</v>
      </c>
      <c r="P14" s="32">
        <v>4.8573000000000004</v>
      </c>
      <c r="Q14" s="33">
        <f t="shared" si="4"/>
        <v>-0.21900000000000031</v>
      </c>
      <c r="R14" s="33">
        <f t="shared" si="5"/>
        <v>0.21900000000000031</v>
      </c>
      <c r="S14" s="36" t="s">
        <v>126</v>
      </c>
    </row>
    <row r="15" spans="1:19" ht="18" customHeight="1" x14ac:dyDescent="0.35">
      <c r="B15" s="31" t="s">
        <v>132</v>
      </c>
      <c r="C15" s="32">
        <v>3.1371000000000002</v>
      </c>
      <c r="D15" s="32">
        <v>3.2806000000000002</v>
      </c>
      <c r="E15" s="33">
        <f t="shared" si="0"/>
        <v>-0.14349999999999996</v>
      </c>
      <c r="F15" s="33">
        <f t="shared" si="1"/>
        <v>0.14349999999999996</v>
      </c>
      <c r="G15" s="34" t="s">
        <v>121</v>
      </c>
      <c r="H15" s="31" t="s">
        <v>132</v>
      </c>
      <c r="I15" s="32">
        <v>4.75</v>
      </c>
      <c r="J15" s="32">
        <v>4.8167999999999997</v>
      </c>
      <c r="K15" s="33">
        <f t="shared" si="2"/>
        <v>-6.6799999999999748E-2</v>
      </c>
      <c r="L15" s="33">
        <f t="shared" si="3"/>
        <v>6.6799999999999748E-2</v>
      </c>
      <c r="M15" s="34" t="s">
        <v>121</v>
      </c>
      <c r="N15" s="31" t="s">
        <v>132</v>
      </c>
      <c r="O15" s="32">
        <v>4.4752000000000001</v>
      </c>
      <c r="P15" s="32">
        <v>4.6658999999999997</v>
      </c>
      <c r="Q15" s="33">
        <f t="shared" si="4"/>
        <v>-0.19069999999999965</v>
      </c>
      <c r="R15" s="33">
        <f t="shared" si="5"/>
        <v>0.19069999999999965</v>
      </c>
      <c r="S15" s="36" t="s">
        <v>126</v>
      </c>
    </row>
    <row r="16" spans="1:19" ht="18" customHeight="1" x14ac:dyDescent="0.35">
      <c r="B16" s="35" t="s">
        <v>133</v>
      </c>
      <c r="C16" s="32">
        <v>3</v>
      </c>
      <c r="D16" s="32">
        <v>3.1676000000000002</v>
      </c>
      <c r="E16" s="33">
        <f t="shared" si="0"/>
        <v>-0.16760000000000019</v>
      </c>
      <c r="F16" s="33">
        <f t="shared" si="1"/>
        <v>0.16760000000000019</v>
      </c>
      <c r="G16" s="36" t="s">
        <v>126</v>
      </c>
      <c r="H16" s="35" t="s">
        <v>133</v>
      </c>
      <c r="I16" s="32">
        <v>4.75</v>
      </c>
      <c r="J16" s="32">
        <v>4.7636000000000003</v>
      </c>
      <c r="K16" s="33">
        <f t="shared" si="2"/>
        <v>-1.3600000000000279E-2</v>
      </c>
      <c r="L16" s="33">
        <f t="shared" si="3"/>
        <v>1.3600000000000279E-2</v>
      </c>
      <c r="M16" s="34" t="s">
        <v>121</v>
      </c>
      <c r="N16" s="35" t="s">
        <v>133</v>
      </c>
      <c r="O16" s="32">
        <v>4.33</v>
      </c>
      <c r="P16" s="32">
        <v>4.4943999999999997</v>
      </c>
      <c r="Q16" s="33">
        <f t="shared" si="4"/>
        <v>-0.16439999999999966</v>
      </c>
      <c r="R16" s="33">
        <f t="shared" si="5"/>
        <v>0.16439999999999966</v>
      </c>
      <c r="S16" s="36" t="s">
        <v>126</v>
      </c>
    </row>
    <row r="17" spans="1:19" ht="18" customHeight="1" x14ac:dyDescent="0.35">
      <c r="B17" s="31" t="s">
        <v>134</v>
      </c>
      <c r="C17" s="32">
        <v>2.7856999999999998</v>
      </c>
      <c r="D17" s="32">
        <v>3.0301999999999998</v>
      </c>
      <c r="E17" s="33">
        <f t="shared" si="0"/>
        <v>-0.24449999999999994</v>
      </c>
      <c r="F17" s="33">
        <f t="shared" si="1"/>
        <v>0.24449999999999994</v>
      </c>
      <c r="G17" s="36" t="s">
        <v>126</v>
      </c>
      <c r="H17" s="31" t="s">
        <v>134</v>
      </c>
      <c r="I17" s="32">
        <v>4.5446</v>
      </c>
      <c r="J17" s="32">
        <v>4.7629000000000001</v>
      </c>
      <c r="K17" s="33">
        <f t="shared" si="2"/>
        <v>-0.21830000000000016</v>
      </c>
      <c r="L17" s="33">
        <f t="shared" si="3"/>
        <v>0.21830000000000016</v>
      </c>
      <c r="M17" s="36" t="s">
        <v>126</v>
      </c>
      <c r="N17" s="31" t="s">
        <v>134</v>
      </c>
      <c r="O17" s="32">
        <v>4.33</v>
      </c>
      <c r="P17" s="32">
        <v>4.1481000000000003</v>
      </c>
      <c r="Q17" s="33">
        <f t="shared" si="4"/>
        <v>0.18189999999999973</v>
      </c>
      <c r="R17" s="33">
        <f t="shared" si="5"/>
        <v>0.18189999999999973</v>
      </c>
      <c r="S17" s="36" t="s">
        <v>126</v>
      </c>
    </row>
    <row r="18" spans="1:19" ht="18" customHeight="1" x14ac:dyDescent="0.35">
      <c r="B18" s="35" t="s">
        <v>135</v>
      </c>
      <c r="C18" s="32">
        <v>2.5886999999999998</v>
      </c>
      <c r="D18" s="32">
        <v>2.8159999999999998</v>
      </c>
      <c r="E18" s="33">
        <f t="shared" si="0"/>
        <v>-0.22730000000000006</v>
      </c>
      <c r="F18" s="33">
        <f t="shared" si="1"/>
        <v>0.22730000000000006</v>
      </c>
      <c r="G18" s="36" t="s">
        <v>126</v>
      </c>
      <c r="H18" s="35" t="s">
        <v>135</v>
      </c>
      <c r="I18" s="32">
        <v>4.5</v>
      </c>
      <c r="J18" s="32">
        <v>4.5556999999999999</v>
      </c>
      <c r="K18" s="33">
        <f t="shared" si="2"/>
        <v>-5.5699999999999861E-2</v>
      </c>
      <c r="L18" s="33">
        <f t="shared" si="3"/>
        <v>5.5699999999999861E-2</v>
      </c>
      <c r="M18" s="34" t="s">
        <v>121</v>
      </c>
      <c r="N18" s="35" t="s">
        <v>135</v>
      </c>
      <c r="O18" s="32">
        <v>4.33</v>
      </c>
      <c r="P18" s="32">
        <v>4.1456999999999997</v>
      </c>
      <c r="Q18" s="33">
        <f t="shared" si="4"/>
        <v>0.18430000000000035</v>
      </c>
      <c r="R18" s="33">
        <f t="shared" si="5"/>
        <v>0.18430000000000035</v>
      </c>
      <c r="S18" s="36" t="s">
        <v>126</v>
      </c>
    </row>
    <row r="19" spans="1:19" ht="18" customHeight="1" x14ac:dyDescent="0.35">
      <c r="B19" s="31" t="s">
        <v>136</v>
      </c>
      <c r="C19" s="32">
        <v>2.4333</v>
      </c>
      <c r="D19" s="32">
        <v>2.6190000000000002</v>
      </c>
      <c r="E19" s="33">
        <f t="shared" si="0"/>
        <v>-0.1857000000000002</v>
      </c>
      <c r="F19" s="33">
        <f t="shared" si="1"/>
        <v>0.1857000000000002</v>
      </c>
      <c r="G19" s="36" t="s">
        <v>126</v>
      </c>
      <c r="H19" s="31" t="s">
        <v>136</v>
      </c>
      <c r="I19" s="32">
        <v>4.5</v>
      </c>
      <c r="J19" s="32">
        <v>4.5015999999999998</v>
      </c>
      <c r="K19" s="33">
        <f t="shared" si="2"/>
        <v>-1.5999999999998238E-3</v>
      </c>
      <c r="L19" s="33">
        <f t="shared" si="3"/>
        <v>1.5999999999998238E-3</v>
      </c>
      <c r="M19" s="34" t="s">
        <v>121</v>
      </c>
      <c r="N19" s="31" t="s">
        <v>136</v>
      </c>
      <c r="O19" s="32">
        <v>4.33</v>
      </c>
      <c r="P19" s="32">
        <v>4.1435000000000004</v>
      </c>
      <c r="Q19" s="33">
        <f t="shared" si="4"/>
        <v>0.18649999999999967</v>
      </c>
      <c r="R19" s="33">
        <f t="shared" si="5"/>
        <v>0.18649999999999967</v>
      </c>
      <c r="S19" s="36" t="s">
        <v>126</v>
      </c>
    </row>
    <row r="20" spans="1:19" ht="18" customHeight="1" x14ac:dyDescent="0.35">
      <c r="B20" s="35" t="s">
        <v>137</v>
      </c>
      <c r="C20" s="32">
        <v>2.25</v>
      </c>
      <c r="D20" s="32">
        <v>2.4630999999999998</v>
      </c>
      <c r="E20" s="33">
        <f t="shared" si="0"/>
        <v>-0.21309999999999985</v>
      </c>
      <c r="F20" s="33">
        <f t="shared" si="1"/>
        <v>0.21309999999999985</v>
      </c>
      <c r="G20" s="36" t="s">
        <v>126</v>
      </c>
      <c r="H20" s="35" t="s">
        <v>137</v>
      </c>
      <c r="I20" s="32">
        <v>4.3064999999999998</v>
      </c>
      <c r="J20" s="32">
        <v>4.4969000000000001</v>
      </c>
      <c r="K20" s="33">
        <f t="shared" si="2"/>
        <v>-0.19040000000000035</v>
      </c>
      <c r="L20" s="33">
        <f t="shared" si="3"/>
        <v>0.19040000000000035</v>
      </c>
      <c r="M20" s="36" t="s">
        <v>126</v>
      </c>
      <c r="N20" s="35" t="s">
        <v>137</v>
      </c>
      <c r="O20" s="32">
        <v>4.33</v>
      </c>
      <c r="P20" s="32">
        <v>4.1409000000000002</v>
      </c>
      <c r="Q20" s="33">
        <f t="shared" si="4"/>
        <v>0.18909999999999982</v>
      </c>
      <c r="R20" s="33">
        <f t="shared" si="5"/>
        <v>0.18909999999999982</v>
      </c>
      <c r="S20" s="36" t="s">
        <v>126</v>
      </c>
    </row>
    <row r="21" spans="1:19" ht="18" customHeight="1" x14ac:dyDescent="0.35">
      <c r="B21" s="31" t="s">
        <v>138</v>
      </c>
      <c r="C21" s="32">
        <v>2.0832999999999999</v>
      </c>
      <c r="D21" s="32">
        <v>2.2805</v>
      </c>
      <c r="E21" s="33">
        <f t="shared" si="0"/>
        <v>-0.19720000000000004</v>
      </c>
      <c r="F21" s="33">
        <f t="shared" si="1"/>
        <v>0.19720000000000004</v>
      </c>
      <c r="G21" s="36" t="s">
        <v>126</v>
      </c>
      <c r="H21" s="31" t="s">
        <v>138</v>
      </c>
      <c r="I21" s="32">
        <v>4.25</v>
      </c>
      <c r="J21" s="32">
        <v>4.3085000000000004</v>
      </c>
      <c r="K21" s="33">
        <f t="shared" si="2"/>
        <v>-5.8500000000000441E-2</v>
      </c>
      <c r="L21" s="33">
        <f t="shared" si="3"/>
        <v>5.8500000000000441E-2</v>
      </c>
      <c r="M21" s="34" t="s">
        <v>121</v>
      </c>
      <c r="N21" s="31" t="s">
        <v>138</v>
      </c>
      <c r="O21" s="32">
        <v>4.33</v>
      </c>
      <c r="P21" s="32">
        <v>4.1456999999999997</v>
      </c>
      <c r="Q21" s="33">
        <f t="shared" si="4"/>
        <v>0.18430000000000035</v>
      </c>
      <c r="R21" s="33">
        <f t="shared" si="5"/>
        <v>0.18430000000000035</v>
      </c>
      <c r="S21" s="36" t="s">
        <v>126</v>
      </c>
    </row>
    <row r="22" spans="1:19" ht="18" customHeight="1" x14ac:dyDescent="0.35">
      <c r="B22" s="35" t="s">
        <v>139</v>
      </c>
      <c r="C22" s="32">
        <v>2</v>
      </c>
      <c r="D22" s="32">
        <v>2.1143000000000001</v>
      </c>
      <c r="E22" s="33">
        <f t="shared" si="0"/>
        <v>-0.11430000000000007</v>
      </c>
      <c r="F22" s="33">
        <f t="shared" si="1"/>
        <v>0.11430000000000007</v>
      </c>
      <c r="G22" s="34" t="s">
        <v>121</v>
      </c>
      <c r="H22" s="35" t="s">
        <v>139</v>
      </c>
      <c r="I22" s="32">
        <v>4.25</v>
      </c>
      <c r="J22" s="32">
        <v>4.2565</v>
      </c>
      <c r="K22" s="33">
        <f t="shared" si="2"/>
        <v>-6.4999999999999503E-3</v>
      </c>
      <c r="L22" s="33">
        <f t="shared" si="3"/>
        <v>6.4999999999999503E-3</v>
      </c>
      <c r="M22" s="34" t="s">
        <v>121</v>
      </c>
      <c r="N22" s="35" t="s">
        <v>139</v>
      </c>
      <c r="O22" s="32">
        <v>4.33</v>
      </c>
      <c r="P22" s="32">
        <v>4.1471</v>
      </c>
      <c r="Q22" s="33">
        <f t="shared" si="4"/>
        <v>0.18290000000000006</v>
      </c>
      <c r="R22" s="33">
        <f t="shared" si="5"/>
        <v>0.18290000000000006</v>
      </c>
      <c r="S22" s="36" t="s">
        <v>126</v>
      </c>
    </row>
    <row r="23" spans="1:19" ht="18" customHeight="1" x14ac:dyDescent="0.35">
      <c r="B23" s="31" t="s">
        <v>140</v>
      </c>
      <c r="C23" s="32">
        <v>2</v>
      </c>
      <c r="D23" s="32">
        <v>2.0305</v>
      </c>
      <c r="E23" s="33">
        <f t="shared" si="0"/>
        <v>-3.0499999999999972E-2</v>
      </c>
      <c r="F23" s="33">
        <f t="shared" si="1"/>
        <v>3.0499999999999972E-2</v>
      </c>
      <c r="G23" s="34" t="s">
        <v>121</v>
      </c>
      <c r="H23" s="31" t="s">
        <v>140</v>
      </c>
      <c r="I23" s="32">
        <v>4.0484</v>
      </c>
      <c r="J23" s="32">
        <v>4.2561999999999998</v>
      </c>
      <c r="K23" s="33">
        <f t="shared" si="2"/>
        <v>-0.20779999999999976</v>
      </c>
      <c r="L23" s="33">
        <f t="shared" si="3"/>
        <v>0.20779999999999976</v>
      </c>
      <c r="M23" s="36" t="s">
        <v>126</v>
      </c>
      <c r="N23" s="31" t="s">
        <v>140</v>
      </c>
      <c r="O23" s="32">
        <v>4.33</v>
      </c>
      <c r="P23" s="32">
        <v>4.1477000000000004</v>
      </c>
      <c r="Q23" s="33">
        <f t="shared" si="4"/>
        <v>0.18229999999999968</v>
      </c>
      <c r="R23" s="33">
        <f t="shared" si="5"/>
        <v>0.18229999999999968</v>
      </c>
      <c r="S23" s="34" t="s">
        <v>121</v>
      </c>
    </row>
    <row r="24" spans="1:19" ht="18" customHeight="1" x14ac:dyDescent="0.35">
      <c r="B24" s="35" t="s">
        <v>141</v>
      </c>
      <c r="C24" s="32">
        <v>2</v>
      </c>
      <c r="D24" s="32">
        <v>2.0305</v>
      </c>
      <c r="E24" s="33">
        <f t="shared" si="0"/>
        <v>-3.0499999999999972E-2</v>
      </c>
      <c r="F24" s="33">
        <f t="shared" si="1"/>
        <v>3.0499999999999972E-2</v>
      </c>
      <c r="G24" s="34" t="s">
        <v>121</v>
      </c>
      <c r="H24" s="35" t="s">
        <v>141</v>
      </c>
      <c r="I24" s="32">
        <v>4</v>
      </c>
      <c r="J24" s="32">
        <v>4.0545</v>
      </c>
      <c r="K24" s="33">
        <f t="shared" si="2"/>
        <v>-5.4499999999999993E-2</v>
      </c>
      <c r="L24" s="33">
        <f t="shared" si="3"/>
        <v>5.4499999999999993E-2</v>
      </c>
      <c r="M24" s="34" t="s">
        <v>121</v>
      </c>
      <c r="N24" s="35" t="s">
        <v>141</v>
      </c>
      <c r="O24" s="32">
        <v>4.2247000000000003</v>
      </c>
      <c r="P24" s="32">
        <v>4.1478000000000002</v>
      </c>
      <c r="Q24" s="33">
        <f t="shared" si="4"/>
        <v>7.690000000000019E-2</v>
      </c>
      <c r="R24" s="33">
        <f t="shared" si="5"/>
        <v>7.690000000000019E-2</v>
      </c>
      <c r="S24" s="34" t="s">
        <v>121</v>
      </c>
    </row>
    <row r="25" spans="1:19" ht="18" customHeight="1" x14ac:dyDescent="0.35">
      <c r="B25" s="31" t="s">
        <v>142</v>
      </c>
      <c r="C25" s="32">
        <v>2</v>
      </c>
      <c r="D25" s="32">
        <v>2.0312000000000001</v>
      </c>
      <c r="E25" s="33">
        <f t="shared" si="0"/>
        <v>-3.1200000000000117E-2</v>
      </c>
      <c r="F25" s="33">
        <f t="shared" si="1"/>
        <v>3.1200000000000117E-2</v>
      </c>
      <c r="G25" s="34" t="s">
        <v>121</v>
      </c>
      <c r="H25" s="31" t="s">
        <v>142</v>
      </c>
      <c r="I25" s="32">
        <v>4</v>
      </c>
      <c r="J25" s="32">
        <v>4.0063000000000004</v>
      </c>
      <c r="K25" s="33">
        <f t="shared" si="2"/>
        <v>-6.3000000000004164E-3</v>
      </c>
      <c r="L25" s="33">
        <f t="shared" si="3"/>
        <v>6.3000000000004164E-3</v>
      </c>
      <c r="M25" s="34" t="s">
        <v>121</v>
      </c>
      <c r="N25" s="31" t="s">
        <v>142</v>
      </c>
      <c r="O25" s="32">
        <v>4.0880999999999998</v>
      </c>
      <c r="P25" s="32">
        <v>4.0418000000000003</v>
      </c>
      <c r="Q25" s="33">
        <f t="shared" si="4"/>
        <v>4.6299999999999564E-2</v>
      </c>
      <c r="R25" s="33">
        <f t="shared" si="5"/>
        <v>4.6299999999999564E-2</v>
      </c>
      <c r="S25" s="36" t="s">
        <v>126</v>
      </c>
    </row>
    <row r="26" spans="1:19" ht="18" customHeight="1" x14ac:dyDescent="0.35">
      <c r="B26" s="35" t="s">
        <v>143</v>
      </c>
      <c r="C26" s="32">
        <v>2</v>
      </c>
      <c r="D26" s="32">
        <v>2.0320999999999998</v>
      </c>
      <c r="E26" s="33">
        <f t="shared" si="0"/>
        <v>-3.2099999999999795E-2</v>
      </c>
      <c r="F26" s="33">
        <f t="shared" si="1"/>
        <v>3.2099999999999795E-2</v>
      </c>
      <c r="G26" s="34" t="s">
        <v>121</v>
      </c>
      <c r="H26" s="35" t="s">
        <v>143</v>
      </c>
      <c r="I26" s="32">
        <v>3.8917000000000002</v>
      </c>
      <c r="J26" s="32">
        <v>4.0033000000000003</v>
      </c>
      <c r="K26" s="33">
        <f t="shared" si="2"/>
        <v>-0.11160000000000014</v>
      </c>
      <c r="L26" s="33">
        <f t="shared" si="3"/>
        <v>0.11160000000000014</v>
      </c>
      <c r="M26" s="34" t="s">
        <v>121</v>
      </c>
      <c r="N26" s="35" t="s">
        <v>143</v>
      </c>
      <c r="O26" s="32">
        <v>3.8763000000000001</v>
      </c>
      <c r="P26" s="32">
        <v>3.9058000000000002</v>
      </c>
      <c r="Q26" s="33">
        <f t="shared" si="4"/>
        <v>-2.9500000000000082E-2</v>
      </c>
      <c r="R26" s="33">
        <f t="shared" si="5"/>
        <v>2.9500000000000082E-2</v>
      </c>
      <c r="S26" s="36" t="s">
        <v>126</v>
      </c>
    </row>
    <row r="27" spans="1:19" ht="18" customHeight="1" x14ac:dyDescent="0.35">
      <c r="B27" s="31" t="s">
        <v>144</v>
      </c>
      <c r="C27" s="32">
        <v>2</v>
      </c>
      <c r="D27" s="32">
        <v>2.0320999999999998</v>
      </c>
      <c r="E27" s="33">
        <f t="shared" si="0"/>
        <v>-3.2099999999999795E-2</v>
      </c>
      <c r="F27" s="33">
        <f t="shared" si="1"/>
        <v>3.2099999999999795E-2</v>
      </c>
      <c r="G27" s="34" t="s">
        <v>121</v>
      </c>
      <c r="H27" s="31" t="s">
        <v>144</v>
      </c>
      <c r="I27" s="32">
        <v>3.75</v>
      </c>
      <c r="J27" s="32">
        <v>3.8980000000000001</v>
      </c>
      <c r="K27" s="33">
        <f t="shared" si="2"/>
        <v>-0.14800000000000013</v>
      </c>
      <c r="L27" s="33">
        <f t="shared" si="3"/>
        <v>0.14800000000000013</v>
      </c>
      <c r="M27" s="36" t="s">
        <v>126</v>
      </c>
      <c r="N27" s="31" t="s">
        <v>144</v>
      </c>
      <c r="O27" s="32">
        <v>3.7206000000000001</v>
      </c>
      <c r="P27" s="32">
        <v>3.6943999999999999</v>
      </c>
      <c r="Q27" s="33">
        <f t="shared" si="4"/>
        <v>2.6200000000000223E-2</v>
      </c>
      <c r="R27" s="33">
        <f t="shared" si="5"/>
        <v>2.6200000000000223E-2</v>
      </c>
      <c r="S27" s="36" t="s">
        <v>126</v>
      </c>
    </row>
    <row r="28" spans="1:19" ht="18" customHeight="1" x14ac:dyDescent="0.35">
      <c r="B28" s="35" t="s">
        <v>145</v>
      </c>
      <c r="C28" s="32">
        <v>2</v>
      </c>
      <c r="D28" s="32">
        <v>2.0320999999999998</v>
      </c>
      <c r="E28" s="33">
        <f t="shared" si="0"/>
        <v>-3.2099999999999795E-2</v>
      </c>
      <c r="F28" s="33">
        <f t="shared" si="1"/>
        <v>3.2099999999999795E-2</v>
      </c>
      <c r="G28" s="34" t="s">
        <v>121</v>
      </c>
      <c r="H28" s="35" t="s">
        <v>145</v>
      </c>
      <c r="I28" s="32">
        <v>3.75</v>
      </c>
      <c r="J28" s="32">
        <v>3.7565</v>
      </c>
      <c r="K28" s="33">
        <f t="shared" si="2"/>
        <v>-6.4999999999999503E-3</v>
      </c>
      <c r="L28" s="33">
        <f t="shared" si="3"/>
        <v>6.4999999999999503E-3</v>
      </c>
      <c r="M28" s="34" t="s">
        <v>121</v>
      </c>
      <c r="N28" s="35" t="s">
        <v>145</v>
      </c>
      <c r="O28" s="32">
        <v>3.64</v>
      </c>
      <c r="P28" s="32">
        <v>3.5394000000000001</v>
      </c>
      <c r="Q28" s="33">
        <f t="shared" si="4"/>
        <v>0.10060000000000002</v>
      </c>
      <c r="R28" s="33">
        <f t="shared" si="5"/>
        <v>0.10060000000000002</v>
      </c>
      <c r="S28" s="34" t="s">
        <v>121</v>
      </c>
    </row>
    <row r="29" spans="1:19" ht="26" customHeight="1" x14ac:dyDescent="0.35">
      <c r="B29" s="25" t="s">
        <v>146</v>
      </c>
      <c r="C29" s="37">
        <f>AVERAGE(F5:F28)</f>
        <v>0.11481250000000004</v>
      </c>
      <c r="D29" s="72" t="s">
        <v>147</v>
      </c>
      <c r="E29" s="62"/>
      <c r="F29" s="62"/>
      <c r="G29" s="62"/>
      <c r="H29" s="25" t="s">
        <v>146</v>
      </c>
      <c r="I29" s="37">
        <f>AVERAGE(L5:L28)</f>
        <v>6.0800000000000055E-2</v>
      </c>
      <c r="J29" s="72" t="s">
        <v>147</v>
      </c>
      <c r="K29" s="62"/>
      <c r="L29" s="62"/>
      <c r="M29" s="62"/>
      <c r="N29" s="25" t="s">
        <v>146</v>
      </c>
      <c r="O29" s="37">
        <f>AVERAGE(R5:R28)</f>
        <v>0.12133333333333328</v>
      </c>
      <c r="P29" s="72" t="s">
        <v>147</v>
      </c>
      <c r="Q29" s="62"/>
      <c r="R29" s="62"/>
      <c r="S29" s="62"/>
    </row>
    <row r="31" spans="1:19" ht="36" customHeight="1" x14ac:dyDescent="0.35">
      <c r="A31" s="69" t="s">
        <v>148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</row>
  </sheetData>
  <mergeCells count="9">
    <mergeCell ref="A31:R31"/>
    <mergeCell ref="N3:S3"/>
    <mergeCell ref="H3:M3"/>
    <mergeCell ref="B3:G3"/>
    <mergeCell ref="A2:R2"/>
    <mergeCell ref="P29:S29"/>
    <mergeCell ref="A1:R1"/>
    <mergeCell ref="D29:G29"/>
    <mergeCell ref="J29:M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showGridLines="0" workbookViewId="0">
      <pane ySplit="3" topLeftCell="A4" activePane="bottomLeft" state="frozen"/>
      <selection pane="bottomLeft" sqref="A1:J1"/>
    </sheetView>
  </sheetViews>
  <sheetFormatPr baseColWidth="10" defaultColWidth="8.7265625" defaultRowHeight="14.5" x14ac:dyDescent="0.35"/>
  <cols>
    <col min="1" max="1" width="3" customWidth="1"/>
    <col min="2" max="3" width="14" customWidth="1"/>
    <col min="4" max="6" width="12" customWidth="1"/>
    <col min="7" max="8" width="14" customWidth="1"/>
    <col min="9" max="9" width="5" customWidth="1"/>
    <col min="10" max="10" width="40" customWidth="1"/>
  </cols>
  <sheetData>
    <row r="1" spans="1:10" ht="38" customHeight="1" x14ac:dyDescent="0.35">
      <c r="A1" s="65" t="s">
        <v>149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36" customHeight="1" x14ac:dyDescent="0.35">
      <c r="A2" s="69" t="s">
        <v>150</v>
      </c>
      <c r="B2" s="62"/>
      <c r="C2" s="62"/>
      <c r="D2" s="62"/>
      <c r="E2" s="62"/>
      <c r="F2" s="62"/>
      <c r="G2" s="62"/>
      <c r="H2" s="62"/>
      <c r="I2" s="62"/>
      <c r="J2" s="62"/>
    </row>
    <row r="4" spans="1:10" ht="56" customHeight="1" x14ac:dyDescent="0.35">
      <c r="B4" s="76" t="s">
        <v>151</v>
      </c>
      <c r="C4" s="62"/>
      <c r="D4" s="62"/>
      <c r="E4" s="62"/>
      <c r="F4" s="62"/>
      <c r="G4" s="62"/>
      <c r="H4" s="62"/>
      <c r="I4" s="62"/>
      <c r="J4" s="62"/>
    </row>
    <row r="6" spans="1:10" ht="22" customHeight="1" x14ac:dyDescent="0.35">
      <c r="A6" s="68" t="s">
        <v>152</v>
      </c>
      <c r="B6" s="62"/>
      <c r="C6" s="62"/>
      <c r="D6" s="62"/>
      <c r="E6" s="62"/>
      <c r="F6" s="62"/>
      <c r="G6" s="62"/>
      <c r="H6" s="62"/>
      <c r="I6" s="62"/>
      <c r="J6" s="62"/>
    </row>
    <row r="7" spans="1:10" ht="20" customHeight="1" x14ac:dyDescent="0.35">
      <c r="A7" s="28" t="s">
        <v>114</v>
      </c>
      <c r="B7" s="28" t="s">
        <v>153</v>
      </c>
      <c r="C7" s="28" t="s">
        <v>154</v>
      </c>
      <c r="D7" s="28" t="s">
        <v>155</v>
      </c>
      <c r="E7" s="28" t="s">
        <v>156</v>
      </c>
      <c r="F7" s="28" t="s">
        <v>157</v>
      </c>
      <c r="G7" s="28" t="s">
        <v>158</v>
      </c>
      <c r="H7" s="28" t="s">
        <v>159</v>
      </c>
      <c r="I7" s="28"/>
      <c r="J7" s="28" t="s">
        <v>160</v>
      </c>
    </row>
    <row r="8" spans="1:10" ht="18" customHeight="1" x14ac:dyDescent="0.35">
      <c r="A8" s="31" t="s">
        <v>120</v>
      </c>
      <c r="B8" s="32">
        <v>4</v>
      </c>
      <c r="C8" s="32">
        <v>4.0335000000000001</v>
      </c>
      <c r="D8" s="38">
        <v>1.6000000000000001E-3</v>
      </c>
      <c r="E8" s="39">
        <v>0.99299999999999999</v>
      </c>
      <c r="F8" s="40">
        <v>5.3E-3</v>
      </c>
      <c r="G8" s="41" t="s">
        <v>161</v>
      </c>
      <c r="H8" s="42">
        <f t="shared" ref="H8:H31" si="0">F8-D8</f>
        <v>3.7000000000000002E-3</v>
      </c>
      <c r="J8" s="43"/>
    </row>
    <row r="9" spans="1:10" ht="18" customHeight="1" x14ac:dyDescent="0.35">
      <c r="A9" s="35" t="s">
        <v>122</v>
      </c>
      <c r="B9" s="32">
        <v>4</v>
      </c>
      <c r="C9" s="32">
        <v>4.0338000000000003</v>
      </c>
      <c r="D9" s="38">
        <v>1.5E-3</v>
      </c>
      <c r="E9" s="39">
        <v>0.99170000000000003</v>
      </c>
      <c r="F9" s="40">
        <v>6.7999999999999996E-3</v>
      </c>
      <c r="G9" s="41" t="s">
        <v>161</v>
      </c>
      <c r="H9" s="42">
        <f t="shared" si="0"/>
        <v>5.2999999999999992E-3</v>
      </c>
      <c r="J9" s="44"/>
    </row>
    <row r="10" spans="1:10" ht="18" customHeight="1" x14ac:dyDescent="0.35">
      <c r="A10" s="31" t="s">
        <v>123</v>
      </c>
      <c r="B10" s="32">
        <v>4</v>
      </c>
      <c r="C10" s="32">
        <v>4.0339</v>
      </c>
      <c r="D10" s="38">
        <v>1.1000000000000001E-3</v>
      </c>
      <c r="E10" s="39">
        <v>0.99340000000000006</v>
      </c>
      <c r="F10" s="40">
        <v>5.5000000000000014E-3</v>
      </c>
      <c r="G10" s="41" t="s">
        <v>161</v>
      </c>
      <c r="H10" s="42">
        <f t="shared" si="0"/>
        <v>4.4000000000000011E-3</v>
      </c>
      <c r="J10" s="43"/>
    </row>
    <row r="11" spans="1:10" ht="18" customHeight="1" x14ac:dyDescent="0.35">
      <c r="A11" s="35" t="s">
        <v>124</v>
      </c>
      <c r="B11" s="32">
        <v>4</v>
      </c>
      <c r="C11" s="32">
        <v>4.0326000000000004</v>
      </c>
      <c r="D11" s="38">
        <v>1.6999999999999999E-3</v>
      </c>
      <c r="E11" s="39">
        <v>0.99529999999999996</v>
      </c>
      <c r="F11" s="40">
        <v>2.8999999999999998E-3</v>
      </c>
      <c r="G11" s="41" t="s">
        <v>161</v>
      </c>
      <c r="H11" s="42">
        <f t="shared" si="0"/>
        <v>1.1999999999999999E-3</v>
      </c>
      <c r="J11" s="44"/>
    </row>
    <row r="12" spans="1:10" ht="18" customHeight="1" x14ac:dyDescent="0.35">
      <c r="A12" s="31" t="s">
        <v>125</v>
      </c>
      <c r="B12" s="32">
        <v>3.8416999999999999</v>
      </c>
      <c r="C12" s="32">
        <v>4.0327000000000002</v>
      </c>
      <c r="D12" s="38">
        <v>1E-3</v>
      </c>
      <c r="E12" s="39">
        <v>0.99450000000000005</v>
      </c>
      <c r="F12" s="40">
        <v>4.5000000000000014E-3</v>
      </c>
      <c r="G12" s="45" t="s">
        <v>161</v>
      </c>
      <c r="H12" s="42">
        <f t="shared" si="0"/>
        <v>3.5000000000000014E-3</v>
      </c>
      <c r="J12" s="43"/>
    </row>
    <row r="13" spans="1:10" ht="18" customHeight="1" x14ac:dyDescent="0.35">
      <c r="A13" s="35" t="s">
        <v>127</v>
      </c>
      <c r="B13" s="32">
        <v>3.75</v>
      </c>
      <c r="C13" s="32">
        <v>3.8742999999999999</v>
      </c>
      <c r="D13" s="38">
        <v>8.9999999999999998E-4</v>
      </c>
      <c r="E13" s="39">
        <v>0.99409999999999998</v>
      </c>
      <c r="F13" s="40">
        <v>5.0000000000000001E-3</v>
      </c>
      <c r="G13" s="41" t="s">
        <v>161</v>
      </c>
      <c r="H13" s="42">
        <f t="shared" si="0"/>
        <v>4.1000000000000003E-3</v>
      </c>
      <c r="J13" s="44"/>
    </row>
    <row r="14" spans="1:10" ht="18" customHeight="1" x14ac:dyDescent="0.35">
      <c r="A14" s="31" t="s">
        <v>128</v>
      </c>
      <c r="B14" s="32">
        <v>3.75</v>
      </c>
      <c r="C14" s="32">
        <v>3.7823000000000002</v>
      </c>
      <c r="D14" s="38">
        <v>1.9E-3</v>
      </c>
      <c r="E14" s="39">
        <v>0.99549999999999994</v>
      </c>
      <c r="F14" s="40">
        <v>2.5000000000000001E-3</v>
      </c>
      <c r="G14" s="41" t="s">
        <v>161</v>
      </c>
      <c r="H14" s="42">
        <f t="shared" si="0"/>
        <v>6.0000000000000006E-4</v>
      </c>
      <c r="J14" s="43"/>
    </row>
    <row r="15" spans="1:10" ht="18" customHeight="1" x14ac:dyDescent="0.35">
      <c r="A15" s="35" t="s">
        <v>129</v>
      </c>
      <c r="B15" s="32">
        <v>3.6417000000000002</v>
      </c>
      <c r="C15" s="32">
        <v>3.7812999999999999</v>
      </c>
      <c r="D15" s="38">
        <v>8.0000000000000004E-4</v>
      </c>
      <c r="E15" s="39">
        <v>0.99739999999999995</v>
      </c>
      <c r="F15" s="40">
        <v>1.6999999999999999E-3</v>
      </c>
      <c r="G15" s="41" t="s">
        <v>161</v>
      </c>
      <c r="H15" s="42">
        <f t="shared" si="0"/>
        <v>8.9999999999999987E-4</v>
      </c>
      <c r="J15" s="44"/>
    </row>
    <row r="16" spans="1:10" ht="18" customHeight="1" x14ac:dyDescent="0.35">
      <c r="A16" s="31" t="s">
        <v>130</v>
      </c>
      <c r="B16" s="32">
        <v>3.4274</v>
      </c>
      <c r="C16" s="32">
        <v>3.6724000000000001</v>
      </c>
      <c r="D16" s="38">
        <v>1.1999999999999999E-3</v>
      </c>
      <c r="E16" s="39">
        <v>0.99750000000000005</v>
      </c>
      <c r="F16" s="40">
        <v>1.1999999999999999E-3</v>
      </c>
      <c r="G16" s="45" t="s">
        <v>161</v>
      </c>
      <c r="H16" s="42">
        <f t="shared" si="0"/>
        <v>0</v>
      </c>
      <c r="J16" s="43"/>
    </row>
    <row r="17" spans="1:10" ht="18" customHeight="1" x14ac:dyDescent="0.35">
      <c r="A17" s="35" t="s">
        <v>131</v>
      </c>
      <c r="B17" s="32">
        <v>3.25</v>
      </c>
      <c r="C17" s="32">
        <v>3.4578000000000002</v>
      </c>
      <c r="D17" s="38">
        <v>4.4000000000000003E-3</v>
      </c>
      <c r="E17" s="39">
        <v>0.99519999999999997</v>
      </c>
      <c r="F17" s="40">
        <v>4.0000000000000002E-4</v>
      </c>
      <c r="G17" s="45" t="s">
        <v>161</v>
      </c>
      <c r="H17" s="42">
        <f t="shared" si="0"/>
        <v>-4.0000000000000001E-3</v>
      </c>
      <c r="J17" s="44"/>
    </row>
    <row r="18" spans="1:10" ht="18" customHeight="1" x14ac:dyDescent="0.35">
      <c r="A18" s="31" t="s">
        <v>132</v>
      </c>
      <c r="B18" s="32">
        <v>3.1371000000000002</v>
      </c>
      <c r="C18" s="32">
        <v>3.2806000000000002</v>
      </c>
      <c r="D18" s="38">
        <v>4.0000000000000002E-4</v>
      </c>
      <c r="E18" s="39">
        <v>0.99819999999999998</v>
      </c>
      <c r="F18" s="40">
        <v>1.4E-3</v>
      </c>
      <c r="G18" s="41" t="s">
        <v>161</v>
      </c>
      <c r="H18" s="42">
        <f t="shared" si="0"/>
        <v>1E-3</v>
      </c>
      <c r="J18" s="43"/>
    </row>
    <row r="19" spans="1:10" ht="18" customHeight="1" x14ac:dyDescent="0.35">
      <c r="A19" s="35" t="s">
        <v>133</v>
      </c>
      <c r="B19" s="32">
        <v>3</v>
      </c>
      <c r="C19" s="32">
        <v>3.1676000000000002</v>
      </c>
      <c r="D19" s="38">
        <v>1E-3</v>
      </c>
      <c r="E19" s="39">
        <v>0.99819999999999998</v>
      </c>
      <c r="F19" s="40">
        <v>8.0000000000000004E-4</v>
      </c>
      <c r="G19" s="45" t="s">
        <v>161</v>
      </c>
      <c r="H19" s="42">
        <f t="shared" si="0"/>
        <v>-1.9999999999999998E-4</v>
      </c>
      <c r="J19" s="44"/>
    </row>
    <row r="20" spans="1:10" ht="18" customHeight="1" x14ac:dyDescent="0.35">
      <c r="A20" s="31" t="s">
        <v>134</v>
      </c>
      <c r="B20" s="32">
        <v>2.7856999999999998</v>
      </c>
      <c r="C20" s="32">
        <v>3.0301999999999998</v>
      </c>
      <c r="D20" s="38">
        <v>7.000000000000001E-4</v>
      </c>
      <c r="E20" s="39">
        <v>0.99879999999999991</v>
      </c>
      <c r="F20" s="40">
        <v>5.0000000000000001E-4</v>
      </c>
      <c r="G20" s="45" t="s">
        <v>161</v>
      </c>
      <c r="H20" s="42">
        <f t="shared" si="0"/>
        <v>-2.0000000000000009E-4</v>
      </c>
      <c r="J20" s="43"/>
    </row>
    <row r="21" spans="1:10" ht="18" customHeight="1" x14ac:dyDescent="0.35">
      <c r="A21" s="35" t="s">
        <v>135</v>
      </c>
      <c r="B21" s="32">
        <v>2.5886999999999998</v>
      </c>
      <c r="C21" s="32">
        <v>2.8159999999999998</v>
      </c>
      <c r="D21" s="38">
        <v>1E-3</v>
      </c>
      <c r="E21" s="39">
        <v>0.99879999999999991</v>
      </c>
      <c r="F21" s="40">
        <v>2.0000000000000001E-4</v>
      </c>
      <c r="G21" s="45" t="s">
        <v>161</v>
      </c>
      <c r="H21" s="42">
        <f t="shared" si="0"/>
        <v>-8.0000000000000004E-4</v>
      </c>
      <c r="J21" s="44"/>
    </row>
    <row r="22" spans="1:10" ht="18" customHeight="1" x14ac:dyDescent="0.35">
      <c r="A22" s="31" t="s">
        <v>136</v>
      </c>
      <c r="B22" s="32">
        <v>2.4333</v>
      </c>
      <c r="C22" s="32">
        <v>2.6190000000000002</v>
      </c>
      <c r="D22" s="38">
        <v>2.0999999999999999E-3</v>
      </c>
      <c r="E22" s="39">
        <v>0.99780000000000002</v>
      </c>
      <c r="F22" s="40">
        <v>1E-4</v>
      </c>
      <c r="G22" s="45" t="s">
        <v>161</v>
      </c>
      <c r="H22" s="42">
        <f t="shared" si="0"/>
        <v>-2E-3</v>
      </c>
      <c r="J22" s="43"/>
    </row>
    <row r="23" spans="1:10" ht="18" customHeight="1" x14ac:dyDescent="0.35">
      <c r="A23" s="35" t="s">
        <v>137</v>
      </c>
      <c r="B23" s="32">
        <v>2.25</v>
      </c>
      <c r="C23" s="32">
        <v>2.4630999999999998</v>
      </c>
      <c r="D23" s="38">
        <v>2E-3</v>
      </c>
      <c r="E23" s="39">
        <v>0.99790000000000001</v>
      </c>
      <c r="F23" s="40">
        <v>0</v>
      </c>
      <c r="G23" s="45" t="s">
        <v>161</v>
      </c>
      <c r="H23" s="42">
        <f t="shared" si="0"/>
        <v>-2E-3</v>
      </c>
      <c r="J23" s="44"/>
    </row>
    <row r="24" spans="1:10" ht="18" customHeight="1" x14ac:dyDescent="0.35">
      <c r="A24" s="31" t="s">
        <v>138</v>
      </c>
      <c r="B24" s="32">
        <v>2.0832999999999999</v>
      </c>
      <c r="C24" s="32">
        <v>2.2805</v>
      </c>
      <c r="D24" s="38">
        <v>4.0000000000000002E-4</v>
      </c>
      <c r="E24" s="39">
        <v>0.99950000000000006</v>
      </c>
      <c r="F24" s="40">
        <v>1E-4</v>
      </c>
      <c r="G24" s="45" t="s">
        <v>161</v>
      </c>
      <c r="H24" s="42">
        <f t="shared" si="0"/>
        <v>-3.0000000000000003E-4</v>
      </c>
      <c r="J24" s="43"/>
    </row>
    <row r="25" spans="1:10" ht="18" customHeight="1" x14ac:dyDescent="0.35">
      <c r="A25" s="35" t="s">
        <v>139</v>
      </c>
      <c r="B25" s="32">
        <v>2</v>
      </c>
      <c r="C25" s="32">
        <v>2.1143000000000001</v>
      </c>
      <c r="D25" s="38">
        <v>2.9999999999999997E-4</v>
      </c>
      <c r="E25" s="39">
        <v>0.99959999999999993</v>
      </c>
      <c r="F25" s="40">
        <v>1E-4</v>
      </c>
      <c r="G25" s="41" t="s">
        <v>161</v>
      </c>
      <c r="H25" s="42">
        <f t="shared" si="0"/>
        <v>-1.9999999999999998E-4</v>
      </c>
      <c r="J25" s="44"/>
    </row>
    <row r="26" spans="1:10" ht="18" customHeight="1" x14ac:dyDescent="0.35">
      <c r="A26" s="31" t="s">
        <v>140</v>
      </c>
      <c r="B26" s="32">
        <v>2</v>
      </c>
      <c r="C26" s="32">
        <v>2.0305</v>
      </c>
      <c r="D26" s="38">
        <v>4.0000000000000002E-4</v>
      </c>
      <c r="E26" s="39">
        <v>0.99939999999999996</v>
      </c>
      <c r="F26" s="40">
        <v>2.0000000000000001E-4</v>
      </c>
      <c r="G26" s="41" t="s">
        <v>161</v>
      </c>
      <c r="H26" s="42">
        <f t="shared" si="0"/>
        <v>-2.0000000000000001E-4</v>
      </c>
      <c r="J26" s="43"/>
    </row>
    <row r="27" spans="1:10" ht="18" customHeight="1" x14ac:dyDescent="0.35">
      <c r="A27" s="35" t="s">
        <v>141</v>
      </c>
      <c r="B27" s="32">
        <v>2</v>
      </c>
      <c r="C27" s="32">
        <v>2.0305</v>
      </c>
      <c r="D27" s="38">
        <v>2.9999999999999997E-4</v>
      </c>
      <c r="E27" s="39">
        <v>0.99950000000000006</v>
      </c>
      <c r="F27" s="40">
        <v>2.0000000000000001E-4</v>
      </c>
      <c r="G27" s="41" t="s">
        <v>161</v>
      </c>
      <c r="H27" s="42">
        <f t="shared" si="0"/>
        <v>-9.9999999999999964E-5</v>
      </c>
      <c r="J27" s="44"/>
    </row>
    <row r="28" spans="1:10" ht="18" customHeight="1" x14ac:dyDescent="0.35">
      <c r="A28" s="31" t="s">
        <v>142</v>
      </c>
      <c r="B28" s="32">
        <v>2</v>
      </c>
      <c r="C28" s="32">
        <v>2.0312000000000001</v>
      </c>
      <c r="D28" s="38">
        <v>2.9999999999999997E-4</v>
      </c>
      <c r="E28" s="39">
        <v>0.99959999999999993</v>
      </c>
      <c r="F28" s="40">
        <v>1E-4</v>
      </c>
      <c r="G28" s="41" t="s">
        <v>161</v>
      </c>
      <c r="H28" s="42">
        <f t="shared" si="0"/>
        <v>-1.9999999999999998E-4</v>
      </c>
      <c r="J28" s="43"/>
    </row>
    <row r="29" spans="1:10" ht="18" customHeight="1" x14ac:dyDescent="0.35">
      <c r="A29" s="35" t="s">
        <v>143</v>
      </c>
      <c r="B29" s="32">
        <v>2</v>
      </c>
      <c r="C29" s="32">
        <v>2.0320999999999998</v>
      </c>
      <c r="D29" s="38">
        <v>2.9999999999999997E-4</v>
      </c>
      <c r="E29" s="39">
        <v>0.99970000000000003</v>
      </c>
      <c r="F29" s="40">
        <v>1E-4</v>
      </c>
      <c r="G29" s="41" t="s">
        <v>161</v>
      </c>
      <c r="H29" s="42">
        <f t="shared" si="0"/>
        <v>-1.9999999999999998E-4</v>
      </c>
      <c r="J29" s="44"/>
    </row>
    <row r="30" spans="1:10" ht="18" customHeight="1" x14ac:dyDescent="0.35">
      <c r="A30" s="31" t="s">
        <v>144</v>
      </c>
      <c r="B30" s="32">
        <v>2</v>
      </c>
      <c r="C30" s="32">
        <v>2.0320999999999998</v>
      </c>
      <c r="D30" s="38">
        <v>2.0000000000000001E-4</v>
      </c>
      <c r="E30" s="39">
        <v>0.99970000000000003</v>
      </c>
      <c r="F30" s="40">
        <v>1E-4</v>
      </c>
      <c r="G30" s="41" t="s">
        <v>161</v>
      </c>
      <c r="H30" s="42">
        <f t="shared" si="0"/>
        <v>-1E-4</v>
      </c>
      <c r="J30" s="43"/>
    </row>
    <row r="31" spans="1:10" ht="18" customHeight="1" x14ac:dyDescent="0.35">
      <c r="A31" s="35" t="s">
        <v>145</v>
      </c>
      <c r="B31" s="32">
        <v>2</v>
      </c>
      <c r="C31" s="32">
        <v>2.0320999999999998</v>
      </c>
      <c r="D31" s="38">
        <v>4.0000000000000002E-4</v>
      </c>
      <c r="E31" s="39">
        <v>0.99939999999999996</v>
      </c>
      <c r="F31" s="40">
        <v>2.0000000000000001E-4</v>
      </c>
      <c r="G31" s="41" t="s">
        <v>161</v>
      </c>
      <c r="H31" s="42">
        <f t="shared" si="0"/>
        <v>-2.0000000000000001E-4</v>
      </c>
      <c r="J31" s="44"/>
    </row>
    <row r="32" spans="1:10" ht="24" customHeight="1" x14ac:dyDescent="0.35">
      <c r="A32" s="25" t="s">
        <v>162</v>
      </c>
      <c r="B32" s="75">
        <f>COUNTIF(G8:G31,C8)/COUNTA(G8:G31)</f>
        <v>0</v>
      </c>
      <c r="C32" s="62"/>
      <c r="D32" s="62"/>
    </row>
    <row r="34" spans="1:10" ht="36" customHeight="1" x14ac:dyDescent="0.35">
      <c r="A34" s="69" t="s">
        <v>163</v>
      </c>
      <c r="B34" s="62"/>
      <c r="C34" s="62"/>
      <c r="D34" s="62"/>
      <c r="E34" s="62"/>
      <c r="F34" s="62"/>
      <c r="G34" s="62"/>
      <c r="H34" s="62"/>
      <c r="I34" s="62"/>
      <c r="J34" s="62"/>
    </row>
  </sheetData>
  <mergeCells count="6">
    <mergeCell ref="A1:J1"/>
    <mergeCell ref="A6:J6"/>
    <mergeCell ref="B32:D32"/>
    <mergeCell ref="A34:J34"/>
    <mergeCell ref="B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"/>
  <sheetViews>
    <sheetView showGridLines="0" tabSelected="1" workbookViewId="0">
      <pane ySplit="3" topLeftCell="A27" activePane="bottomLeft" state="frozen"/>
      <selection pane="bottomLeft" activeCell="E16" sqref="E16"/>
    </sheetView>
  </sheetViews>
  <sheetFormatPr baseColWidth="10" defaultColWidth="8.7265625" defaultRowHeight="14.5" x14ac:dyDescent="0.35"/>
  <cols>
    <col min="1" max="1" width="3" customWidth="1"/>
    <col min="2" max="2" width="26" customWidth="1"/>
    <col min="3" max="5" width="14" customWidth="1"/>
    <col min="6" max="6" width="5" customWidth="1"/>
    <col min="7" max="7" width="26" customWidth="1"/>
    <col min="8" max="10" width="14" customWidth="1"/>
    <col min="11" max="11" width="5" customWidth="1"/>
    <col min="12" max="12" width="26" customWidth="1"/>
    <col min="13" max="15" width="14" customWidth="1"/>
  </cols>
  <sheetData>
    <row r="1" spans="1:15" ht="38" customHeight="1" x14ac:dyDescent="0.35">
      <c r="A1" s="65" t="s">
        <v>164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ht="36" customHeight="1" x14ac:dyDescent="0.35">
      <c r="A2" s="69" t="s">
        <v>165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4" spans="1:15" ht="22" customHeight="1" x14ac:dyDescent="0.35">
      <c r="A4" s="68" t="s">
        <v>166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</row>
    <row r="5" spans="1:15" x14ac:dyDescent="0.35">
      <c r="B5" s="28" t="s">
        <v>167</v>
      </c>
      <c r="C5" s="28" t="s">
        <v>75</v>
      </c>
      <c r="D5" s="28" t="s">
        <v>76</v>
      </c>
      <c r="E5" s="28" t="s">
        <v>77</v>
      </c>
    </row>
    <row r="6" spans="1:15" ht="18" customHeight="1" x14ac:dyDescent="0.35">
      <c r="B6" s="46" t="s">
        <v>168</v>
      </c>
      <c r="C6" s="47">
        <v>1</v>
      </c>
      <c r="D6" s="47">
        <v>1.5</v>
      </c>
      <c r="E6" s="47">
        <v>2.5</v>
      </c>
    </row>
    <row r="7" spans="1:15" ht="18" customHeight="1" x14ac:dyDescent="0.35">
      <c r="B7" s="46" t="s">
        <v>169</v>
      </c>
      <c r="C7" s="47">
        <v>2</v>
      </c>
      <c r="D7" s="47">
        <v>2</v>
      </c>
      <c r="E7" s="47">
        <v>2</v>
      </c>
    </row>
    <row r="8" spans="1:15" ht="18" customHeight="1" x14ac:dyDescent="0.35">
      <c r="B8" s="46" t="s">
        <v>170</v>
      </c>
      <c r="C8" s="47">
        <v>1.5</v>
      </c>
      <c r="D8" s="47">
        <v>2</v>
      </c>
      <c r="E8" s="47">
        <v>2</v>
      </c>
    </row>
    <row r="10" spans="1:15" ht="22" customHeight="1" x14ac:dyDescent="0.35">
      <c r="A10" s="68" t="s">
        <v>171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</row>
    <row r="11" spans="1:15" ht="20" customHeight="1" x14ac:dyDescent="0.35">
      <c r="B11" s="28" t="s">
        <v>172</v>
      </c>
      <c r="C11" s="28" t="s">
        <v>173</v>
      </c>
      <c r="D11" s="28" t="s">
        <v>174</v>
      </c>
      <c r="E11" s="28" t="s">
        <v>159</v>
      </c>
      <c r="G11" s="28" t="s">
        <v>175</v>
      </c>
      <c r="H11" s="28" t="s">
        <v>173</v>
      </c>
      <c r="I11" s="28" t="s">
        <v>174</v>
      </c>
      <c r="J11" s="28" t="s">
        <v>159</v>
      </c>
      <c r="L11" s="28" t="s">
        <v>176</v>
      </c>
      <c r="M11" s="28" t="s">
        <v>173</v>
      </c>
      <c r="N11" s="28" t="s">
        <v>174</v>
      </c>
      <c r="O11" s="28" t="s">
        <v>159</v>
      </c>
    </row>
    <row r="12" spans="1:15" ht="20" customHeight="1" x14ac:dyDescent="0.35">
      <c r="B12" s="48" t="s">
        <v>177</v>
      </c>
      <c r="C12" s="49">
        <v>1.4</v>
      </c>
      <c r="G12" s="48" t="s">
        <v>177</v>
      </c>
      <c r="H12" s="49">
        <v>1.2</v>
      </c>
      <c r="L12" s="48" t="s">
        <v>177</v>
      </c>
      <c r="M12" s="49">
        <v>2.1</v>
      </c>
    </row>
    <row r="13" spans="1:15" ht="20" customHeight="1" x14ac:dyDescent="0.35">
      <c r="B13" s="48" t="s">
        <v>178</v>
      </c>
      <c r="C13" s="49">
        <v>1.2</v>
      </c>
      <c r="G13" s="48" t="s">
        <v>178</v>
      </c>
      <c r="H13" s="49">
        <v>0.9</v>
      </c>
      <c r="L13" s="48" t="s">
        <v>178</v>
      </c>
      <c r="M13" s="49">
        <v>1.8</v>
      </c>
    </row>
    <row r="14" spans="1:15" ht="20" customHeight="1" x14ac:dyDescent="0.35">
      <c r="B14" s="48" t="s">
        <v>179</v>
      </c>
      <c r="C14" s="49">
        <v>2.2999999999999998</v>
      </c>
      <c r="G14" s="48" t="s">
        <v>179</v>
      </c>
      <c r="H14" s="49">
        <v>2.8</v>
      </c>
      <c r="L14" s="48" t="s">
        <v>179</v>
      </c>
      <c r="M14" s="49">
        <v>2.6</v>
      </c>
    </row>
    <row r="15" spans="1:15" ht="20" customHeight="1" x14ac:dyDescent="0.35">
      <c r="B15" s="48" t="s">
        <v>180</v>
      </c>
      <c r="C15" s="49">
        <v>6.2</v>
      </c>
      <c r="G15" s="48" t="s">
        <v>180</v>
      </c>
      <c r="H15" s="49">
        <v>4.4000000000000004</v>
      </c>
      <c r="L15" s="48" t="s">
        <v>180</v>
      </c>
      <c r="M15" s="49">
        <v>4.2</v>
      </c>
    </row>
    <row r="16" spans="1:15" ht="28" customHeight="1" x14ac:dyDescent="0.35">
      <c r="B16" s="50" t="s">
        <v>181</v>
      </c>
      <c r="C16" s="51">
        <f>MAX(0,C6+1.5*(C14-C7)+0.5*(C12-C8))</f>
        <v>1.3999999999999997</v>
      </c>
      <c r="D16" s="52">
        <v>0</v>
      </c>
      <c r="E16" s="53" t="s">
        <v>182</v>
      </c>
      <c r="G16" s="50" t="s">
        <v>181</v>
      </c>
      <c r="H16" s="51">
        <f>MAX(0,D6+1.5*(H14-D7)+0.5*(H12-D8))</f>
        <v>2.2999999999999998</v>
      </c>
      <c r="I16" s="52">
        <v>-6.0000000000000001E-3</v>
      </c>
      <c r="J16" s="53" t="s">
        <v>182</v>
      </c>
      <c r="L16" s="50" t="s">
        <v>181</v>
      </c>
      <c r="M16" s="51">
        <f>MAX(0,E6+1.5*(M14-E7)+0.5*(M12-E8))</f>
        <v>3.45</v>
      </c>
      <c r="N16" s="52">
        <v>1.4E-2</v>
      </c>
      <c r="O16" s="53" t="s">
        <v>182</v>
      </c>
    </row>
    <row r="18" spans="1:15" ht="22" customHeight="1" x14ac:dyDescent="0.35">
      <c r="A18" s="78" t="s">
        <v>183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</row>
    <row r="19" spans="1:15" ht="20" customHeight="1" x14ac:dyDescent="0.35">
      <c r="B19" s="54" t="s">
        <v>172</v>
      </c>
      <c r="C19" s="54" t="s">
        <v>173</v>
      </c>
      <c r="D19" s="54" t="s">
        <v>174</v>
      </c>
      <c r="E19" s="54" t="s">
        <v>159</v>
      </c>
      <c r="G19" s="54" t="s">
        <v>175</v>
      </c>
      <c r="H19" s="54" t="s">
        <v>173</v>
      </c>
      <c r="I19" s="54" t="s">
        <v>174</v>
      </c>
      <c r="J19" s="54" t="s">
        <v>159</v>
      </c>
      <c r="L19" s="54" t="s">
        <v>176</v>
      </c>
      <c r="M19" s="54" t="s">
        <v>173</v>
      </c>
      <c r="N19" s="54" t="s">
        <v>174</v>
      </c>
      <c r="O19" s="54" t="s">
        <v>159</v>
      </c>
    </row>
    <row r="20" spans="1:15" ht="20" customHeight="1" x14ac:dyDescent="0.35">
      <c r="B20" s="48" t="s">
        <v>177</v>
      </c>
      <c r="C20" s="49">
        <v>2.5</v>
      </c>
      <c r="G20" s="48" t="s">
        <v>177</v>
      </c>
      <c r="H20" s="49">
        <v>2.2000000000000002</v>
      </c>
      <c r="L20" s="48" t="s">
        <v>177</v>
      </c>
      <c r="M20" s="49">
        <v>3</v>
      </c>
    </row>
    <row r="21" spans="1:15" ht="20" customHeight="1" x14ac:dyDescent="0.35">
      <c r="B21" s="48" t="s">
        <v>178</v>
      </c>
      <c r="C21" s="49">
        <v>2.2000000000000002</v>
      </c>
      <c r="G21" s="48" t="s">
        <v>178</v>
      </c>
      <c r="H21" s="49">
        <v>1.9</v>
      </c>
      <c r="L21" s="48" t="s">
        <v>178</v>
      </c>
      <c r="M21" s="49">
        <v>2.7</v>
      </c>
    </row>
    <row r="22" spans="1:15" ht="20" customHeight="1" x14ac:dyDescent="0.35">
      <c r="B22" s="48" t="s">
        <v>179</v>
      </c>
      <c r="C22" s="49">
        <v>1.9</v>
      </c>
      <c r="G22" s="48" t="s">
        <v>179</v>
      </c>
      <c r="H22" s="49">
        <v>2.2000000000000002</v>
      </c>
      <c r="L22" s="48" t="s">
        <v>179</v>
      </c>
      <c r="M22" s="49">
        <v>2.2000000000000002</v>
      </c>
    </row>
    <row r="23" spans="1:15" ht="20" customHeight="1" x14ac:dyDescent="0.35">
      <c r="B23" s="48" t="s">
        <v>180</v>
      </c>
      <c r="C23" s="49">
        <v>5.8</v>
      </c>
      <c r="G23" s="48" t="s">
        <v>180</v>
      </c>
      <c r="H23" s="49">
        <v>4</v>
      </c>
      <c r="L23" s="48" t="s">
        <v>180</v>
      </c>
      <c r="M23" s="49">
        <v>3.8</v>
      </c>
    </row>
    <row r="24" spans="1:15" ht="28" customHeight="1" x14ac:dyDescent="0.35">
      <c r="B24" s="50" t="s">
        <v>181</v>
      </c>
      <c r="C24" s="51">
        <f>MAX(0,C6+1.5*(C22-C7)+0.5*(C20-C8))</f>
        <v>1.3499999999999999</v>
      </c>
      <c r="D24" s="52">
        <v>1E-3</v>
      </c>
      <c r="E24" s="53" t="s">
        <v>182</v>
      </c>
      <c r="G24" s="50" t="s">
        <v>181</v>
      </c>
      <c r="H24" s="51">
        <f>MAX(0,D6+1.5*(H22-D7)+0.5*(H20-D8))</f>
        <v>1.9000000000000004</v>
      </c>
      <c r="I24" s="52">
        <v>3.0000000000000001E-3</v>
      </c>
      <c r="J24" s="53" t="s">
        <v>182</v>
      </c>
      <c r="L24" s="50" t="s">
        <v>181</v>
      </c>
      <c r="M24" s="51">
        <f>MAX(0,E6+1.5*(M22-E7)+0.5*(M20-E8))</f>
        <v>3.3000000000000003</v>
      </c>
      <c r="N24" s="52">
        <v>0.1</v>
      </c>
      <c r="O24" s="53" t="s">
        <v>182</v>
      </c>
    </row>
    <row r="26" spans="1:15" ht="22" customHeight="1" x14ac:dyDescent="0.35">
      <c r="A26" s="77" t="s">
        <v>184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</row>
    <row r="27" spans="1:15" ht="20" customHeight="1" x14ac:dyDescent="0.35">
      <c r="B27" s="55" t="s">
        <v>172</v>
      </c>
      <c r="C27" s="55" t="s">
        <v>173</v>
      </c>
      <c r="D27" s="55" t="s">
        <v>174</v>
      </c>
      <c r="E27" s="55" t="s">
        <v>159</v>
      </c>
      <c r="G27" s="55" t="s">
        <v>175</v>
      </c>
      <c r="H27" s="55" t="s">
        <v>173</v>
      </c>
      <c r="I27" s="55" t="s">
        <v>174</v>
      </c>
      <c r="J27" s="55" t="s">
        <v>159</v>
      </c>
      <c r="L27" s="55" t="s">
        <v>176</v>
      </c>
      <c r="M27" s="55" t="s">
        <v>173</v>
      </c>
      <c r="N27" s="55" t="s">
        <v>174</v>
      </c>
      <c r="O27" s="55" t="s">
        <v>159</v>
      </c>
    </row>
    <row r="28" spans="1:15" ht="20" customHeight="1" x14ac:dyDescent="0.35">
      <c r="B28" s="48" t="s">
        <v>177</v>
      </c>
      <c r="C28" s="49">
        <v>0.4</v>
      </c>
      <c r="G28" s="48" t="s">
        <v>177</v>
      </c>
      <c r="H28" s="49">
        <v>0.3</v>
      </c>
      <c r="L28" s="48" t="s">
        <v>177</v>
      </c>
      <c r="M28" s="49">
        <v>0.8</v>
      </c>
    </row>
    <row r="29" spans="1:15" ht="20" customHeight="1" x14ac:dyDescent="0.35">
      <c r="B29" s="48" t="s">
        <v>178</v>
      </c>
      <c r="C29" s="49">
        <v>0.1</v>
      </c>
      <c r="G29" s="48" t="s">
        <v>178</v>
      </c>
      <c r="H29" s="49">
        <v>0</v>
      </c>
      <c r="L29" s="48" t="s">
        <v>178</v>
      </c>
      <c r="M29" s="49">
        <v>0.5</v>
      </c>
    </row>
    <row r="30" spans="1:15" ht="20" customHeight="1" x14ac:dyDescent="0.35">
      <c r="B30" s="48" t="s">
        <v>179</v>
      </c>
      <c r="C30" s="49">
        <v>3.3</v>
      </c>
      <c r="G30" s="48" t="s">
        <v>179</v>
      </c>
      <c r="H30" s="49">
        <v>3.8</v>
      </c>
      <c r="L30" s="48" t="s">
        <v>179</v>
      </c>
      <c r="M30" s="49">
        <v>3.5</v>
      </c>
    </row>
    <row r="31" spans="1:15" ht="20" customHeight="1" x14ac:dyDescent="0.35">
      <c r="B31" s="48" t="s">
        <v>180</v>
      </c>
      <c r="C31" s="49">
        <v>7.1</v>
      </c>
      <c r="G31" s="48" t="s">
        <v>180</v>
      </c>
      <c r="H31" s="49">
        <v>5</v>
      </c>
      <c r="L31" s="48" t="s">
        <v>180</v>
      </c>
      <c r="M31" s="49">
        <v>5</v>
      </c>
    </row>
    <row r="32" spans="1:15" ht="28" customHeight="1" x14ac:dyDescent="0.35">
      <c r="B32" s="50" t="s">
        <v>181</v>
      </c>
      <c r="C32" s="51">
        <f>MAX(0,C6+1.5*(C30-C7)+0.5*(C28-C8))</f>
        <v>2.3999999999999995</v>
      </c>
      <c r="D32" s="52">
        <v>-2E-3</v>
      </c>
      <c r="E32" s="53" t="s">
        <v>182</v>
      </c>
      <c r="G32" s="50" t="s">
        <v>181</v>
      </c>
      <c r="H32" s="51">
        <f>MAX(0,D6+1.5*(H30-D7)+0.5*(H28-D8))</f>
        <v>3.3499999999999992</v>
      </c>
      <c r="I32" s="52">
        <v>-0.154</v>
      </c>
      <c r="J32" s="53" t="s">
        <v>182</v>
      </c>
      <c r="L32" s="50" t="s">
        <v>181</v>
      </c>
      <c r="M32" s="51">
        <f>MAX(0,E6+1.5*(M30-E7)+0.5*(M28-E8))</f>
        <v>4.1500000000000004</v>
      </c>
      <c r="N32" s="52">
        <v>-0.313</v>
      </c>
      <c r="O32" s="53" t="s">
        <v>182</v>
      </c>
    </row>
    <row r="34" spans="1:15" ht="36" customHeight="1" x14ac:dyDescent="0.35">
      <c r="A34" s="69" t="s">
        <v>185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</row>
  </sheetData>
  <mergeCells count="7">
    <mergeCell ref="A26:O26"/>
    <mergeCell ref="A2:O2"/>
    <mergeCell ref="A10:O10"/>
    <mergeCell ref="A1:O1"/>
    <mergeCell ref="A34:O34"/>
    <mergeCell ref="A18:O18"/>
    <mergeCell ref="A4:O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showGridLines="0" workbookViewId="0">
      <pane ySplit="2" topLeftCell="A11" activePane="bottomLeft" state="frozen"/>
      <selection pane="bottomLeft" sqref="A1:J1"/>
    </sheetView>
  </sheetViews>
  <sheetFormatPr baseColWidth="10" defaultColWidth="8.7265625" defaultRowHeight="14.5" x14ac:dyDescent="0.35"/>
  <cols>
    <col min="1" max="1" width="3" customWidth="1"/>
    <col min="2" max="2" width="20" customWidth="1"/>
    <col min="3" max="8" width="14" customWidth="1"/>
    <col min="9" max="9" width="5" customWidth="1"/>
    <col min="10" max="10" width="42" customWidth="1"/>
  </cols>
  <sheetData>
    <row r="1" spans="1:10" ht="38" customHeight="1" x14ac:dyDescent="0.35">
      <c r="A1" s="65" t="s">
        <v>186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36" customHeight="1" x14ac:dyDescent="0.35">
      <c r="A2" s="69" t="s">
        <v>187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22" customHeight="1" x14ac:dyDescent="0.35">
      <c r="A3" s="7" t="s">
        <v>188</v>
      </c>
      <c r="B3" s="7" t="s">
        <v>189</v>
      </c>
      <c r="C3" s="7" t="s">
        <v>190</v>
      </c>
      <c r="D3" s="7" t="s">
        <v>191</v>
      </c>
      <c r="E3" s="7" t="s">
        <v>192</v>
      </c>
      <c r="F3" s="7" t="s">
        <v>193</v>
      </c>
      <c r="G3" s="7" t="s">
        <v>194</v>
      </c>
      <c r="H3" s="7" t="s">
        <v>195</v>
      </c>
      <c r="I3" s="7"/>
      <c r="J3" s="7" t="s">
        <v>196</v>
      </c>
    </row>
    <row r="4" spans="1:10" ht="22" customHeight="1" x14ac:dyDescent="0.35">
      <c r="A4" s="56" t="s">
        <v>75</v>
      </c>
      <c r="B4" s="16" t="s">
        <v>197</v>
      </c>
      <c r="C4" s="57">
        <v>0.17580000000000001</v>
      </c>
      <c r="D4" s="57">
        <v>0.25430000000000003</v>
      </c>
      <c r="E4" s="57">
        <v>0.96589999999999998</v>
      </c>
      <c r="F4" s="58">
        <v>0.13189999999999999</v>
      </c>
      <c r="G4" s="58">
        <v>0.1537</v>
      </c>
      <c r="H4" s="58">
        <v>0.96289999999999998</v>
      </c>
      <c r="J4" s="13" t="s">
        <v>198</v>
      </c>
    </row>
    <row r="5" spans="1:10" ht="22" customHeight="1" x14ac:dyDescent="0.35">
      <c r="A5" s="59" t="s">
        <v>75</v>
      </c>
      <c r="B5" s="3" t="s">
        <v>199</v>
      </c>
      <c r="C5" s="60">
        <v>0.18310000000000001</v>
      </c>
      <c r="D5" s="60">
        <v>0.26479999999999998</v>
      </c>
      <c r="E5" s="60">
        <v>0.96299999999999997</v>
      </c>
      <c r="F5" s="60">
        <v>0.1128</v>
      </c>
      <c r="G5" s="60">
        <v>0.13869999999999999</v>
      </c>
      <c r="H5" s="60">
        <v>0.9698</v>
      </c>
    </row>
    <row r="6" spans="1:10" ht="22" customHeight="1" x14ac:dyDescent="0.35">
      <c r="A6" s="56" t="s">
        <v>76</v>
      </c>
      <c r="B6" s="16" t="s">
        <v>197</v>
      </c>
      <c r="C6" s="57">
        <v>5.5199999999999999E-2</v>
      </c>
      <c r="D6" s="57">
        <v>0.11799999999999999</v>
      </c>
      <c r="E6" s="57">
        <v>0.997</v>
      </c>
      <c r="F6" s="58">
        <v>4.8300000000000003E-2</v>
      </c>
      <c r="G6" s="58">
        <v>7.5700000000000003E-2</v>
      </c>
      <c r="H6" s="58">
        <v>0.97119999999999995</v>
      </c>
      <c r="J6" s="13" t="s">
        <v>200</v>
      </c>
    </row>
    <row r="7" spans="1:10" ht="22" customHeight="1" x14ac:dyDescent="0.35">
      <c r="A7" s="59" t="s">
        <v>76</v>
      </c>
      <c r="B7" s="3" t="s">
        <v>199</v>
      </c>
      <c r="C7" s="60">
        <v>6.4500000000000002E-2</v>
      </c>
      <c r="D7" s="60">
        <v>0.1469</v>
      </c>
      <c r="E7" s="60">
        <v>0.99529999999999996</v>
      </c>
      <c r="F7" s="60">
        <v>8.6699999999999999E-2</v>
      </c>
      <c r="G7" s="60">
        <v>0.1145</v>
      </c>
      <c r="H7" s="60">
        <v>0.93420000000000003</v>
      </c>
    </row>
    <row r="8" spans="1:10" ht="22" customHeight="1" x14ac:dyDescent="0.35">
      <c r="A8" s="56" t="s">
        <v>77</v>
      </c>
      <c r="B8" s="16" t="s">
        <v>197</v>
      </c>
      <c r="C8" s="57">
        <v>7.7399999999999997E-2</v>
      </c>
      <c r="D8" s="57">
        <v>0.1275</v>
      </c>
      <c r="E8" s="57">
        <v>0.99570000000000003</v>
      </c>
      <c r="F8" s="58">
        <v>0.1094</v>
      </c>
      <c r="G8" s="58">
        <v>0.13789999999999999</v>
      </c>
      <c r="H8" s="58">
        <v>0.93740000000000001</v>
      </c>
      <c r="J8" s="13" t="s">
        <v>201</v>
      </c>
    </row>
    <row r="9" spans="1:10" ht="22" customHeight="1" x14ac:dyDescent="0.35">
      <c r="A9" s="59" t="s">
        <v>77</v>
      </c>
      <c r="B9" s="3" t="s">
        <v>199</v>
      </c>
      <c r="C9" s="60">
        <v>9.8599999999999993E-2</v>
      </c>
      <c r="D9" s="60">
        <v>0.17419999999999999</v>
      </c>
      <c r="E9" s="60">
        <v>0.99199999999999999</v>
      </c>
      <c r="F9" s="60">
        <v>0.1013</v>
      </c>
      <c r="G9" s="60">
        <v>0.14000000000000001</v>
      </c>
      <c r="H9" s="60">
        <v>0.93540000000000001</v>
      </c>
    </row>
    <row r="11" spans="1:10" ht="22" customHeight="1" x14ac:dyDescent="0.35">
      <c r="A11" s="68" t="s">
        <v>202</v>
      </c>
      <c r="B11" s="62"/>
      <c r="C11" s="62"/>
      <c r="D11" s="62"/>
      <c r="E11" s="62"/>
      <c r="F11" s="62"/>
      <c r="G11" s="62"/>
      <c r="H11" s="62"/>
      <c r="I11" s="62"/>
      <c r="J11" s="62"/>
    </row>
    <row r="12" spans="1:10" ht="28" customHeight="1" x14ac:dyDescent="0.35">
      <c r="A12" s="4" t="s">
        <v>203</v>
      </c>
      <c r="B12" s="80"/>
      <c r="C12" s="62"/>
      <c r="D12" s="62"/>
      <c r="E12" s="62"/>
      <c r="F12" s="62"/>
      <c r="G12" s="62"/>
      <c r="H12" s="62"/>
      <c r="I12" s="62"/>
      <c r="J12" s="62"/>
    </row>
    <row r="13" spans="1:10" ht="28" customHeight="1" x14ac:dyDescent="0.35">
      <c r="A13" s="2" t="s">
        <v>204</v>
      </c>
      <c r="B13" s="79"/>
      <c r="C13" s="62"/>
      <c r="D13" s="62"/>
      <c r="E13" s="62"/>
      <c r="F13" s="62"/>
      <c r="G13" s="62"/>
      <c r="H13" s="62"/>
      <c r="I13" s="62"/>
      <c r="J13" s="62"/>
    </row>
    <row r="14" spans="1:10" ht="28" customHeight="1" x14ac:dyDescent="0.35">
      <c r="A14" s="4" t="s">
        <v>205</v>
      </c>
      <c r="B14" s="80" t="s">
        <v>206</v>
      </c>
      <c r="C14" s="62"/>
      <c r="D14" s="62"/>
      <c r="E14" s="62"/>
      <c r="F14" s="62"/>
      <c r="G14" s="62"/>
      <c r="H14" s="62"/>
      <c r="I14" s="62"/>
      <c r="J14" s="62"/>
    </row>
    <row r="15" spans="1:10" ht="28" customHeight="1" x14ac:dyDescent="0.35">
      <c r="A15" s="2" t="s">
        <v>207</v>
      </c>
      <c r="B15" s="79" t="s">
        <v>208</v>
      </c>
      <c r="C15" s="62"/>
      <c r="D15" s="62"/>
      <c r="E15" s="62"/>
      <c r="F15" s="62"/>
      <c r="G15" s="62"/>
      <c r="H15" s="62"/>
      <c r="I15" s="62"/>
      <c r="J15" s="62"/>
    </row>
    <row r="17" spans="1:10" ht="36" customHeight="1" x14ac:dyDescent="0.35">
      <c r="A17" s="69" t="s">
        <v>209</v>
      </c>
      <c r="B17" s="62"/>
      <c r="C17" s="62"/>
      <c r="D17" s="62"/>
      <c r="E17" s="62"/>
      <c r="F17" s="62"/>
      <c r="G17" s="62"/>
      <c r="H17" s="62"/>
      <c r="I17" s="62"/>
      <c r="J17" s="62"/>
    </row>
  </sheetData>
  <mergeCells count="8">
    <mergeCell ref="B15:J15"/>
    <mergeCell ref="A1:J1"/>
    <mergeCell ref="A17:J17"/>
    <mergeCell ref="B14:J14"/>
    <mergeCell ref="A2:J2"/>
    <mergeCell ref="B12:J12"/>
    <mergeCell ref="B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📋 Índice</vt:lpstr>
      <vt:lpstr>1️⃣ Variables</vt:lpstr>
      <vt:lpstr>2️⃣ Regla Taylor</vt:lpstr>
      <vt:lpstr>3️⃣ Importancias</vt:lpstr>
      <vt:lpstr>4️⃣ Test 2024-2025</vt:lpstr>
      <vt:lpstr>5️⃣ Clasificación</vt:lpstr>
      <vt:lpstr>6️⃣ Escenarios 2026-2030</vt:lpstr>
      <vt:lpstr>7️⃣ 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Aritz Fernandez Aulestiarte</cp:lastModifiedBy>
  <dcterms:created xsi:type="dcterms:W3CDTF">2026-06-03T17:18:50Z</dcterms:created>
  <dcterms:modified xsi:type="dcterms:W3CDTF">2026-06-03T17:27:49Z</dcterms:modified>
</cp:coreProperties>
</file>
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4800153f987622d/Escritorio/PERSONAL/Investigacion/Trabajo de Fin De Grado - Aritz Fernandez Aulestiarte/Analisis Macroeconomico/Variables/PIB Per Capita/"/>
    </mc:Choice>
  </mc:AlternateContent>
  <xr:revisionPtr revIDLastSave="4" documentId="11_4A125116573226424DE4821D43540EA9DEA58274" xr6:coauthVersionLast="47" xr6:coauthVersionMax="47" xr10:uidLastSave="{52D4F2C0-A018-40E5-B0AC-1EA388FAA037}"/>
  <bookViews>
    <workbookView xWindow="-110" yWindow="-110" windowWidth="19420" windowHeight="10300" tabRatio="500" firstSheet="5" activeTab="8" xr2:uid="{00000000-000D-0000-FFFF-FFFF00000000}"/>
  </bookViews>
  <sheets>
    <sheet name="PORTADA" sheetId="1" r:id="rId1"/>
    <sheet name="DATOS_PIBPC" sheetId="2" r:id="rId2"/>
    <sheet name="DATOS_PIB" sheetId="3" r:id="rId3"/>
    <sheet name="DATOS_POB" sheetId="4" r:id="rId4"/>
    <sheet name="DATOS_INF" sheetId="5" r:id="rId5"/>
    <sheet name="AGREGADO" sheetId="6" r:id="rId6"/>
    <sheet name="CRECIMIENTO" sheetId="7" r:id="rId7"/>
    <sheet name="ESTADISTICOS" sheetId="8" r:id="rId8"/>
    <sheet name="GRAFICO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4" i="9" l="1"/>
  <c r="Q4" i="9"/>
  <c r="M4" i="9"/>
  <c r="I36" i="6"/>
  <c r="G36" i="7" s="1"/>
  <c r="V35" i="9" s="1"/>
  <c r="H36" i="6"/>
  <c r="F36" i="7" s="1"/>
  <c r="N35" i="9" s="1"/>
  <c r="F36" i="6"/>
  <c r="E36" i="6"/>
  <c r="B36" i="6"/>
  <c r="I35" i="6"/>
  <c r="G35" i="7" s="1"/>
  <c r="V34" i="9" s="1"/>
  <c r="H35" i="6"/>
  <c r="F35" i="7" s="1"/>
  <c r="N34" i="9" s="1"/>
  <c r="F35" i="6"/>
  <c r="D35" i="7" s="1"/>
  <c r="E35" i="6"/>
  <c r="C35" i="7" s="1"/>
  <c r="B35" i="6"/>
  <c r="I34" i="6"/>
  <c r="G34" i="7" s="1"/>
  <c r="V33" i="9" s="1"/>
  <c r="H34" i="6"/>
  <c r="F34" i="7" s="1"/>
  <c r="N33" i="9" s="1"/>
  <c r="F34" i="6"/>
  <c r="D34" i="7" s="1"/>
  <c r="E34" i="6"/>
  <c r="C34" i="7" s="1"/>
  <c r="B34" i="6"/>
  <c r="I33" i="6"/>
  <c r="G33" i="7" s="1"/>
  <c r="V32" i="9" s="1"/>
  <c r="H33" i="6"/>
  <c r="F33" i="7" s="1"/>
  <c r="N32" i="9" s="1"/>
  <c r="F33" i="6"/>
  <c r="D33" i="7" s="1"/>
  <c r="E33" i="6"/>
  <c r="C33" i="7" s="1"/>
  <c r="B33" i="6"/>
  <c r="I32" i="6"/>
  <c r="G32" i="7" s="1"/>
  <c r="V31" i="9" s="1"/>
  <c r="H32" i="6"/>
  <c r="F32" i="7" s="1"/>
  <c r="N31" i="9" s="1"/>
  <c r="F32" i="6"/>
  <c r="D32" i="7" s="1"/>
  <c r="E32" i="6"/>
  <c r="C32" i="7" s="1"/>
  <c r="B32" i="6"/>
  <c r="I31" i="6"/>
  <c r="G31" i="7" s="1"/>
  <c r="V30" i="9" s="1"/>
  <c r="H31" i="6"/>
  <c r="F31" i="7" s="1"/>
  <c r="N30" i="9" s="1"/>
  <c r="F31" i="6"/>
  <c r="D31" i="7" s="1"/>
  <c r="E31" i="6"/>
  <c r="C31" i="7" s="1"/>
  <c r="B31" i="6"/>
  <c r="I30" i="6"/>
  <c r="G30" i="7" s="1"/>
  <c r="V29" i="9" s="1"/>
  <c r="H30" i="6"/>
  <c r="F30" i="7" s="1"/>
  <c r="N29" i="9" s="1"/>
  <c r="F30" i="6"/>
  <c r="D30" i="7" s="1"/>
  <c r="E30" i="6"/>
  <c r="C30" i="7" s="1"/>
  <c r="B30" i="6"/>
  <c r="I29" i="6"/>
  <c r="G29" i="7" s="1"/>
  <c r="V28" i="9" s="1"/>
  <c r="H29" i="6"/>
  <c r="F29" i="7" s="1"/>
  <c r="N28" i="9" s="1"/>
  <c r="F29" i="6"/>
  <c r="D29" i="7" s="1"/>
  <c r="E29" i="6"/>
  <c r="C29" i="7" s="1"/>
  <c r="B29" i="6"/>
  <c r="I28" i="6"/>
  <c r="G28" i="7" s="1"/>
  <c r="V27" i="9" s="1"/>
  <c r="H28" i="6"/>
  <c r="F28" i="7" s="1"/>
  <c r="N27" i="9" s="1"/>
  <c r="F28" i="6"/>
  <c r="D28" i="7" s="1"/>
  <c r="E28" i="6"/>
  <c r="C28" i="7" s="1"/>
  <c r="B28" i="6"/>
  <c r="I27" i="6"/>
  <c r="G27" i="7" s="1"/>
  <c r="V26" i="9" s="1"/>
  <c r="H27" i="6"/>
  <c r="F27" i="7" s="1"/>
  <c r="N26" i="9" s="1"/>
  <c r="F27" i="6"/>
  <c r="D27" i="7" s="1"/>
  <c r="E27" i="6"/>
  <c r="C27" i="7" s="1"/>
  <c r="B27" i="6"/>
  <c r="I26" i="6"/>
  <c r="G26" i="7" s="1"/>
  <c r="V25" i="9" s="1"/>
  <c r="H26" i="6"/>
  <c r="F26" i="7" s="1"/>
  <c r="N25" i="9" s="1"/>
  <c r="F26" i="6"/>
  <c r="D26" i="7" s="1"/>
  <c r="E26" i="6"/>
  <c r="C26" i="7" s="1"/>
  <c r="B26" i="6"/>
  <c r="I25" i="6"/>
  <c r="G25" i="7" s="1"/>
  <c r="V24" i="9" s="1"/>
  <c r="H25" i="6"/>
  <c r="F25" i="7" s="1"/>
  <c r="N24" i="9" s="1"/>
  <c r="F25" i="6"/>
  <c r="D25" i="7" s="1"/>
  <c r="E25" i="6"/>
  <c r="C25" i="7" s="1"/>
  <c r="B25" i="6"/>
  <c r="I24" i="6"/>
  <c r="G24" i="7" s="1"/>
  <c r="V23" i="9" s="1"/>
  <c r="H24" i="6"/>
  <c r="F24" i="7" s="1"/>
  <c r="N23" i="9" s="1"/>
  <c r="F24" i="6"/>
  <c r="D24" i="7" s="1"/>
  <c r="E24" i="6"/>
  <c r="C24" i="7" s="1"/>
  <c r="B24" i="6"/>
  <c r="I23" i="6"/>
  <c r="G23" i="7" s="1"/>
  <c r="V22" i="9" s="1"/>
  <c r="H23" i="6"/>
  <c r="F23" i="7" s="1"/>
  <c r="N22" i="9" s="1"/>
  <c r="F23" i="6"/>
  <c r="D23" i="7" s="1"/>
  <c r="E23" i="6"/>
  <c r="C23" i="7" s="1"/>
  <c r="B23" i="6"/>
  <c r="I22" i="6"/>
  <c r="G22" i="7" s="1"/>
  <c r="V21" i="9" s="1"/>
  <c r="H22" i="6"/>
  <c r="F22" i="7" s="1"/>
  <c r="N21" i="9" s="1"/>
  <c r="F22" i="6"/>
  <c r="D22" i="7" s="1"/>
  <c r="E22" i="6"/>
  <c r="C22" i="7" s="1"/>
  <c r="B22" i="6"/>
  <c r="I21" i="6"/>
  <c r="G21" i="7" s="1"/>
  <c r="V20" i="9" s="1"/>
  <c r="H21" i="6"/>
  <c r="F21" i="7" s="1"/>
  <c r="N20" i="9" s="1"/>
  <c r="F21" i="6"/>
  <c r="D21" i="7" s="1"/>
  <c r="E21" i="6"/>
  <c r="C21" i="7" s="1"/>
  <c r="B21" i="6"/>
  <c r="I20" i="6"/>
  <c r="G20" i="7" s="1"/>
  <c r="V19" i="9" s="1"/>
  <c r="H20" i="6"/>
  <c r="F20" i="7" s="1"/>
  <c r="N19" i="9" s="1"/>
  <c r="F20" i="6"/>
  <c r="D20" i="7" s="1"/>
  <c r="E20" i="6"/>
  <c r="C20" i="7" s="1"/>
  <c r="B20" i="6"/>
  <c r="I19" i="6"/>
  <c r="G19" i="7" s="1"/>
  <c r="V18" i="9" s="1"/>
  <c r="H19" i="6"/>
  <c r="F19" i="7" s="1"/>
  <c r="N18" i="9" s="1"/>
  <c r="F19" i="6"/>
  <c r="D19" i="7" s="1"/>
  <c r="E19" i="6"/>
  <c r="C19" i="7" s="1"/>
  <c r="B19" i="6"/>
  <c r="I18" i="6"/>
  <c r="G18" i="7" s="1"/>
  <c r="V17" i="9" s="1"/>
  <c r="H18" i="6"/>
  <c r="F18" i="7" s="1"/>
  <c r="N17" i="9" s="1"/>
  <c r="F18" i="6"/>
  <c r="D18" i="7" s="1"/>
  <c r="E18" i="6"/>
  <c r="C18" i="7" s="1"/>
  <c r="B18" i="6"/>
  <c r="I17" i="6"/>
  <c r="G17" i="7" s="1"/>
  <c r="V16" i="9" s="1"/>
  <c r="H17" i="6"/>
  <c r="F17" i="7" s="1"/>
  <c r="N16" i="9" s="1"/>
  <c r="F17" i="6"/>
  <c r="D17" i="7" s="1"/>
  <c r="E17" i="6"/>
  <c r="C17" i="7" s="1"/>
  <c r="B17" i="6"/>
  <c r="I16" i="6"/>
  <c r="G16" i="7" s="1"/>
  <c r="V15" i="9" s="1"/>
  <c r="H16" i="6"/>
  <c r="F16" i="7" s="1"/>
  <c r="N15" i="9" s="1"/>
  <c r="F16" i="6"/>
  <c r="D16" i="7" s="1"/>
  <c r="E16" i="6"/>
  <c r="C16" i="7" s="1"/>
  <c r="B16" i="6"/>
  <c r="I15" i="6"/>
  <c r="G15" i="7" s="1"/>
  <c r="V14" i="9" s="1"/>
  <c r="H15" i="6"/>
  <c r="F15" i="7" s="1"/>
  <c r="N14" i="9" s="1"/>
  <c r="F15" i="6"/>
  <c r="D15" i="7" s="1"/>
  <c r="E15" i="6"/>
  <c r="C15" i="7" s="1"/>
  <c r="B15" i="6"/>
  <c r="I14" i="6"/>
  <c r="G14" i="7" s="1"/>
  <c r="V13" i="9" s="1"/>
  <c r="H14" i="6"/>
  <c r="F14" i="7" s="1"/>
  <c r="N13" i="9" s="1"/>
  <c r="F14" i="6"/>
  <c r="D14" i="7" s="1"/>
  <c r="E14" i="6"/>
  <c r="C14" i="7" s="1"/>
  <c r="B14" i="6"/>
  <c r="I13" i="6"/>
  <c r="G13" i="7" s="1"/>
  <c r="V12" i="9" s="1"/>
  <c r="H13" i="6"/>
  <c r="F13" i="7" s="1"/>
  <c r="N12" i="9" s="1"/>
  <c r="F13" i="6"/>
  <c r="D13" i="7" s="1"/>
  <c r="E13" i="6"/>
  <c r="C13" i="7" s="1"/>
  <c r="B13" i="6"/>
  <c r="I12" i="6"/>
  <c r="G12" i="7" s="1"/>
  <c r="V11" i="9" s="1"/>
  <c r="H12" i="6"/>
  <c r="F12" i="7" s="1"/>
  <c r="N11" i="9" s="1"/>
  <c r="F12" i="6"/>
  <c r="D12" i="7" s="1"/>
  <c r="E12" i="6"/>
  <c r="C12" i="7" s="1"/>
  <c r="B12" i="6"/>
  <c r="I11" i="6"/>
  <c r="G11" i="7" s="1"/>
  <c r="V10" i="9" s="1"/>
  <c r="H11" i="6"/>
  <c r="F11" i="7" s="1"/>
  <c r="N10" i="9" s="1"/>
  <c r="F11" i="6"/>
  <c r="D11" i="7" s="1"/>
  <c r="E11" i="6"/>
  <c r="C11" i="7" s="1"/>
  <c r="B11" i="6"/>
  <c r="I10" i="6"/>
  <c r="G10" i="7" s="1"/>
  <c r="V9" i="9" s="1"/>
  <c r="H10" i="6"/>
  <c r="F10" i="7" s="1"/>
  <c r="N9" i="9" s="1"/>
  <c r="F10" i="6"/>
  <c r="D10" i="7" s="1"/>
  <c r="E10" i="6"/>
  <c r="C10" i="7" s="1"/>
  <c r="B10" i="6"/>
  <c r="I9" i="6"/>
  <c r="G9" i="7" s="1"/>
  <c r="V8" i="9" s="1"/>
  <c r="H9" i="6"/>
  <c r="F9" i="7" s="1"/>
  <c r="N8" i="9" s="1"/>
  <c r="F9" i="6"/>
  <c r="D9" i="7" s="1"/>
  <c r="E9" i="6"/>
  <c r="C9" i="7" s="1"/>
  <c r="B9" i="6"/>
  <c r="I8" i="6"/>
  <c r="G8" i="7" s="1"/>
  <c r="V7" i="9" s="1"/>
  <c r="H8" i="6"/>
  <c r="F8" i="7" s="1"/>
  <c r="N7" i="9" s="1"/>
  <c r="F8" i="6"/>
  <c r="D8" i="7" s="1"/>
  <c r="E8" i="6"/>
  <c r="C8" i="7" s="1"/>
  <c r="B8" i="6"/>
  <c r="I7" i="6"/>
  <c r="G7" i="7" s="1"/>
  <c r="V6" i="9" s="1"/>
  <c r="H7" i="6"/>
  <c r="F7" i="7" s="1"/>
  <c r="N6" i="9" s="1"/>
  <c r="F7" i="6"/>
  <c r="D7" i="7" s="1"/>
  <c r="E7" i="6"/>
  <c r="C7" i="7" s="1"/>
  <c r="B7" i="6"/>
  <c r="I6" i="6"/>
  <c r="G6" i="7" s="1"/>
  <c r="V5" i="9" s="1"/>
  <c r="H6" i="6"/>
  <c r="F6" i="7" s="1"/>
  <c r="N5" i="9" s="1"/>
  <c r="F6" i="6"/>
  <c r="D6" i="7" s="1"/>
  <c r="E6" i="6"/>
  <c r="C6" i="7" s="1"/>
  <c r="B6" i="6"/>
  <c r="I5" i="6"/>
  <c r="H5" i="6"/>
  <c r="F5" i="6"/>
  <c r="E5" i="6"/>
  <c r="B5" i="6"/>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D25" i="4"/>
  <c r="C25"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D24" i="4"/>
  <c r="C24"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D23" i="4"/>
  <c r="C23"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C10"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D11" i="8" l="1"/>
  <c r="D36" i="7"/>
  <c r="D12" i="8"/>
  <c r="C12" i="8"/>
  <c r="C11" i="8"/>
  <c r="C36" i="7"/>
  <c r="J35" i="7"/>
  <c r="U34" i="9"/>
  <c r="M34" i="9"/>
  <c r="I35" i="7"/>
  <c r="J34" i="7"/>
  <c r="U33" i="9"/>
  <c r="M33" i="9"/>
  <c r="I34" i="7"/>
  <c r="J33" i="7"/>
  <c r="U32" i="9"/>
  <c r="M32" i="9"/>
  <c r="I33" i="7"/>
  <c r="J32" i="7"/>
  <c r="U31" i="9"/>
  <c r="M31" i="9"/>
  <c r="I32" i="7"/>
  <c r="U30" i="9"/>
  <c r="J31" i="7"/>
  <c r="M30" i="9"/>
  <c r="I31" i="7"/>
  <c r="J30" i="7"/>
  <c r="U29" i="9"/>
  <c r="I30" i="7"/>
  <c r="M29" i="9"/>
  <c r="J29" i="7"/>
  <c r="U28" i="9"/>
  <c r="M28" i="9"/>
  <c r="I29" i="7"/>
  <c r="J28" i="7"/>
  <c r="U27" i="9"/>
  <c r="I28" i="7"/>
  <c r="M27" i="9"/>
  <c r="J27" i="7"/>
  <c r="U26" i="9"/>
  <c r="I27" i="7"/>
  <c r="M26" i="9"/>
  <c r="J26" i="7"/>
  <c r="U25" i="9"/>
  <c r="M25" i="9"/>
  <c r="I26" i="7"/>
  <c r="J25" i="7"/>
  <c r="U24" i="9"/>
  <c r="M24" i="9"/>
  <c r="I25" i="7"/>
  <c r="J24" i="7"/>
  <c r="U23" i="9"/>
  <c r="I24" i="7"/>
  <c r="M23" i="9"/>
  <c r="J23" i="7"/>
  <c r="U22" i="9"/>
  <c r="M22" i="9"/>
  <c r="I23" i="7"/>
  <c r="J22" i="7"/>
  <c r="U21" i="9"/>
  <c r="M21" i="9"/>
  <c r="I22" i="7"/>
  <c r="U20" i="9"/>
  <c r="J21" i="7"/>
  <c r="I21" i="7"/>
  <c r="M20" i="9"/>
  <c r="J20" i="7"/>
  <c r="U19" i="9"/>
  <c r="I20" i="7"/>
  <c r="M19" i="9"/>
  <c r="J19" i="7"/>
  <c r="U18" i="9"/>
  <c r="M18" i="9"/>
  <c r="I19" i="7"/>
  <c r="J18" i="7"/>
  <c r="U17" i="9"/>
  <c r="I18" i="7"/>
  <c r="M17" i="9"/>
  <c r="J17" i="7"/>
  <c r="U16" i="9"/>
  <c r="M16" i="9"/>
  <c r="I17" i="7"/>
  <c r="U15" i="9"/>
  <c r="J16" i="7"/>
  <c r="I16" i="7"/>
  <c r="M15" i="9"/>
  <c r="J15" i="7"/>
  <c r="U14" i="9"/>
  <c r="M14" i="9"/>
  <c r="I15" i="7"/>
  <c r="J14" i="7"/>
  <c r="U13" i="9"/>
  <c r="I14" i="7"/>
  <c r="M13" i="9"/>
  <c r="U12" i="9"/>
  <c r="J13" i="7"/>
  <c r="I13" i="7"/>
  <c r="M12" i="9"/>
  <c r="J12" i="7"/>
  <c r="U11" i="9"/>
  <c r="I12" i="7"/>
  <c r="M11" i="9"/>
  <c r="J11" i="7"/>
  <c r="U10" i="9"/>
  <c r="I11" i="7"/>
  <c r="M10" i="9"/>
  <c r="U9" i="9"/>
  <c r="J10" i="7"/>
  <c r="M9" i="9"/>
  <c r="I10" i="7"/>
  <c r="J9" i="7"/>
  <c r="U8" i="9"/>
  <c r="M8" i="9"/>
  <c r="I9" i="7"/>
  <c r="J8" i="7"/>
  <c r="U7" i="9"/>
  <c r="I8" i="7"/>
  <c r="M7" i="9"/>
  <c r="U6" i="9"/>
  <c r="J7" i="7"/>
  <c r="I7" i="7"/>
  <c r="M6" i="9"/>
  <c r="J6" i="7"/>
  <c r="U5" i="9"/>
  <c r="D18" i="8"/>
  <c r="D17" i="8"/>
  <c r="D19" i="8"/>
  <c r="D20" i="8"/>
  <c r="D21" i="8"/>
  <c r="D22" i="8" s="1"/>
  <c r="I6" i="7"/>
  <c r="C17" i="8"/>
  <c r="C19" i="8"/>
  <c r="C20" i="8"/>
  <c r="C21" i="8"/>
  <c r="C22" i="8" s="1"/>
  <c r="M5" i="9"/>
  <c r="C18" i="8"/>
  <c r="D31" i="8"/>
  <c r="D32" i="8" s="1"/>
  <c r="D28" i="8"/>
  <c r="G5" i="7"/>
  <c r="V4" i="9" s="1"/>
  <c r="D30" i="8"/>
  <c r="D27" i="8"/>
  <c r="D29" i="8"/>
  <c r="C30" i="8"/>
  <c r="C28" i="8"/>
  <c r="C29" i="8"/>
  <c r="C31" i="8"/>
  <c r="C27" i="8"/>
  <c r="F5" i="7"/>
  <c r="N4" i="9" s="1"/>
  <c r="D7" i="8"/>
  <c r="D8" i="8"/>
  <c r="D5" i="8"/>
  <c r="D9" i="8"/>
  <c r="D10" i="8" s="1"/>
  <c r="D6" i="8"/>
  <c r="C8" i="8"/>
  <c r="C9" i="8"/>
  <c r="C5" i="8"/>
  <c r="C6" i="8"/>
  <c r="C7" i="8"/>
  <c r="C17" i="6"/>
  <c r="D17" i="6" s="1"/>
  <c r="G17" i="6"/>
  <c r="E17" i="7" s="1"/>
  <c r="R16" i="9" s="1"/>
  <c r="C16" i="6"/>
  <c r="D16" i="6" s="1"/>
  <c r="B16" i="7" s="1"/>
  <c r="G16" i="6"/>
  <c r="E16" i="7" s="1"/>
  <c r="R15" i="9" s="1"/>
  <c r="G15" i="6"/>
  <c r="E15" i="7" s="1"/>
  <c r="R14" i="9" s="1"/>
  <c r="C15" i="6"/>
  <c r="D15" i="6" s="1"/>
  <c r="C14" i="6"/>
  <c r="D14" i="6" s="1"/>
  <c r="G14" i="6"/>
  <c r="E14" i="7" s="1"/>
  <c r="R13" i="9" s="1"/>
  <c r="G13" i="6"/>
  <c r="E13" i="7" s="1"/>
  <c r="R12" i="9" s="1"/>
  <c r="C13" i="6"/>
  <c r="D13" i="6" s="1"/>
  <c r="B13" i="7" s="1"/>
  <c r="G12" i="6"/>
  <c r="E12" i="7" s="1"/>
  <c r="R11" i="9" s="1"/>
  <c r="C12" i="6"/>
  <c r="D12" i="6" s="1"/>
  <c r="G11" i="6"/>
  <c r="C11" i="6"/>
  <c r="D11" i="6" s="1"/>
  <c r="G10" i="6"/>
  <c r="E10" i="7" s="1"/>
  <c r="R9" i="9" s="1"/>
  <c r="C10" i="6"/>
  <c r="D10" i="6" s="1"/>
  <c r="G9" i="6"/>
  <c r="E9" i="7" s="1"/>
  <c r="R8" i="9" s="1"/>
  <c r="C9" i="6"/>
  <c r="D9" i="6" s="1"/>
  <c r="G8" i="6"/>
  <c r="E8" i="7" s="1"/>
  <c r="R7" i="9" s="1"/>
  <c r="C8" i="6"/>
  <c r="D8" i="6" s="1"/>
  <c r="G7" i="6"/>
  <c r="E7" i="7" s="1"/>
  <c r="R6" i="9" s="1"/>
  <c r="C7" i="6"/>
  <c r="D7" i="6" s="1"/>
  <c r="C6" i="6"/>
  <c r="D6" i="6" s="1"/>
  <c r="G6" i="6"/>
  <c r="E6" i="7" s="1"/>
  <c r="R5" i="9" s="1"/>
  <c r="G5" i="6"/>
  <c r="C5" i="6"/>
  <c r="D5" i="6" s="1"/>
  <c r="G36" i="6"/>
  <c r="E36" i="7" s="1"/>
  <c r="R35" i="9" s="1"/>
  <c r="C36" i="6"/>
  <c r="D36" i="6" s="1"/>
  <c r="C35" i="6"/>
  <c r="D35" i="6" s="1"/>
  <c r="G35" i="6"/>
  <c r="E35" i="7" s="1"/>
  <c r="R34" i="9" s="1"/>
  <c r="G34" i="6"/>
  <c r="E34" i="7" s="1"/>
  <c r="R33" i="9" s="1"/>
  <c r="C34" i="6"/>
  <c r="D34" i="6" s="1"/>
  <c r="C33" i="6"/>
  <c r="D33" i="6" s="1"/>
  <c r="G33" i="6"/>
  <c r="E33" i="7" s="1"/>
  <c r="R32" i="9" s="1"/>
  <c r="C32" i="6"/>
  <c r="D32" i="6" s="1"/>
  <c r="G32" i="6"/>
  <c r="E32" i="7" s="1"/>
  <c r="R31" i="9" s="1"/>
  <c r="C31" i="6"/>
  <c r="D31" i="6" s="1"/>
  <c r="G31" i="6"/>
  <c r="E31" i="7" s="1"/>
  <c r="R30" i="9" s="1"/>
  <c r="C30" i="6"/>
  <c r="D30" i="6" s="1"/>
  <c r="G30" i="6"/>
  <c r="E30" i="7" s="1"/>
  <c r="R29" i="9" s="1"/>
  <c r="G29" i="6"/>
  <c r="E29" i="7" s="1"/>
  <c r="R28" i="9" s="1"/>
  <c r="C29" i="6"/>
  <c r="D29" i="6" s="1"/>
  <c r="C28" i="6"/>
  <c r="D28" i="6" s="1"/>
  <c r="B28" i="7" s="1"/>
  <c r="G28" i="6"/>
  <c r="E28" i="7" s="1"/>
  <c r="R27" i="9" s="1"/>
  <c r="C27" i="6"/>
  <c r="D27" i="6" s="1"/>
  <c r="G27" i="6"/>
  <c r="E27" i="7" s="1"/>
  <c r="R26" i="9" s="1"/>
  <c r="C26" i="6"/>
  <c r="D26" i="6" s="1"/>
  <c r="G26" i="6"/>
  <c r="E26" i="7" s="1"/>
  <c r="R25" i="9" s="1"/>
  <c r="G25" i="6"/>
  <c r="E25" i="7" s="1"/>
  <c r="R24" i="9" s="1"/>
  <c r="C25" i="6"/>
  <c r="D25" i="6" s="1"/>
  <c r="C24" i="6"/>
  <c r="D24" i="6" s="1"/>
  <c r="G24" i="6"/>
  <c r="E24" i="7" s="1"/>
  <c r="R23" i="9" s="1"/>
  <c r="C23" i="6"/>
  <c r="D23" i="6" s="1"/>
  <c r="G23" i="6"/>
  <c r="E23" i="7" s="1"/>
  <c r="R22" i="9" s="1"/>
  <c r="C22" i="6"/>
  <c r="D22" i="6" s="1"/>
  <c r="G22" i="6"/>
  <c r="E22" i="7" s="1"/>
  <c r="R21" i="9" s="1"/>
  <c r="C21" i="6"/>
  <c r="D21" i="6" s="1"/>
  <c r="G21" i="6"/>
  <c r="E21" i="7" s="1"/>
  <c r="R20" i="9" s="1"/>
  <c r="C20" i="6"/>
  <c r="D20" i="6" s="1"/>
  <c r="G20" i="6"/>
  <c r="E20" i="7" s="1"/>
  <c r="R19" i="9" s="1"/>
  <c r="C19" i="6"/>
  <c r="D19" i="6" s="1"/>
  <c r="B19" i="7" s="1"/>
  <c r="G19" i="6"/>
  <c r="E19" i="7" s="1"/>
  <c r="R18" i="9" s="1"/>
  <c r="C18" i="6"/>
  <c r="D18" i="6" s="1"/>
  <c r="G18" i="6"/>
  <c r="E18" i="7" s="1"/>
  <c r="R17" i="9" s="1"/>
  <c r="U35" i="9" l="1"/>
  <c r="J36" i="7"/>
  <c r="I36" i="7"/>
  <c r="M35" i="9"/>
  <c r="H16" i="7"/>
  <c r="Q15" i="9"/>
  <c r="Q12" i="9"/>
  <c r="H13" i="7"/>
  <c r="B35" i="8"/>
  <c r="E11" i="7"/>
  <c r="R10" i="9" s="1"/>
  <c r="B27" i="8"/>
  <c r="B29" i="8"/>
  <c r="B28" i="8"/>
  <c r="B31" i="8"/>
  <c r="B32" i="8" s="1"/>
  <c r="E5" i="7"/>
  <c r="R4" i="9" s="1"/>
  <c r="B30" i="8"/>
  <c r="B7" i="8"/>
  <c r="B5" i="8"/>
  <c r="B6" i="8"/>
  <c r="B9" i="8"/>
  <c r="B10" i="8" s="1"/>
  <c r="B8" i="8"/>
  <c r="B36" i="7"/>
  <c r="B12" i="8"/>
  <c r="B11" i="8"/>
  <c r="Q27" i="9"/>
  <c r="H28" i="7"/>
  <c r="H19" i="7"/>
  <c r="Q18" i="9"/>
  <c r="B12" i="7"/>
  <c r="B11" i="7"/>
  <c r="B10" i="7"/>
  <c r="B9" i="7"/>
  <c r="B8" i="7"/>
  <c r="B7" i="7"/>
  <c r="B6" i="7"/>
  <c r="B17" i="7"/>
  <c r="B15" i="7"/>
  <c r="B14" i="7"/>
  <c r="B35" i="7"/>
  <c r="B34" i="7"/>
  <c r="B33" i="7"/>
  <c r="B32" i="7"/>
  <c r="B31" i="7"/>
  <c r="B30" i="7"/>
  <c r="B29" i="7"/>
  <c r="B27" i="7"/>
  <c r="B26" i="7"/>
  <c r="B25" i="7"/>
  <c r="B24" i="7"/>
  <c r="B23" i="7"/>
  <c r="B22" i="7"/>
  <c r="B21" i="7"/>
  <c r="B20" i="7"/>
  <c r="B18" i="7"/>
  <c r="C32" i="8"/>
  <c r="C10" i="8"/>
  <c r="Q35" i="9" l="1"/>
  <c r="H36" i="7"/>
  <c r="Q11" i="9"/>
  <c r="H12" i="7"/>
  <c r="H11" i="7"/>
  <c r="Q10" i="9"/>
  <c r="Q9" i="9"/>
  <c r="H10" i="7"/>
  <c r="H9" i="7"/>
  <c r="Q8" i="9"/>
  <c r="Q7" i="9"/>
  <c r="H8" i="7"/>
  <c r="Q6" i="9"/>
  <c r="H7" i="7"/>
  <c r="Q5" i="9"/>
  <c r="H6" i="7"/>
  <c r="B20" i="8"/>
  <c r="B21" i="8"/>
  <c r="B17" i="8"/>
  <c r="B19" i="8"/>
  <c r="B18" i="8"/>
  <c r="Q16" i="9"/>
  <c r="H17" i="7"/>
  <c r="Q14" i="9"/>
  <c r="H15" i="7"/>
  <c r="H14" i="7"/>
  <c r="Q13" i="9"/>
  <c r="Q34" i="9"/>
  <c r="H35" i="7"/>
  <c r="H34" i="7"/>
  <c r="Q33" i="9"/>
  <c r="H33" i="7"/>
  <c r="Q32" i="9"/>
  <c r="Q31" i="9"/>
  <c r="H32" i="7"/>
  <c r="H31" i="7"/>
  <c r="Q30" i="9"/>
  <c r="Q29" i="9"/>
  <c r="H30" i="7"/>
  <c r="Q28" i="9"/>
  <c r="H29" i="7"/>
  <c r="H27" i="7"/>
  <c r="Q26" i="9"/>
  <c r="H26" i="7"/>
  <c r="Q25" i="9"/>
  <c r="H25" i="7"/>
  <c r="Q24" i="9"/>
  <c r="Q23" i="9"/>
  <c r="H24" i="7"/>
  <c r="H23" i="7"/>
  <c r="Q22" i="9"/>
  <c r="Q21" i="9"/>
  <c r="H22" i="7"/>
  <c r="H21" i="7"/>
  <c r="Q20" i="9"/>
  <c r="H20" i="7"/>
  <c r="Q19" i="9"/>
  <c r="H18" i="7"/>
  <c r="Q17" i="9"/>
  <c r="B22" i="8" l="1"/>
</calcChain>
</file>

<file path=xl/sharedStrings.xml><?xml version="1.0" encoding="utf-8"?>
<sst xmlns="http://schemas.openxmlformats.org/spreadsheetml/2006/main" count="306" uniqueCount="124">
  <si>
    <t>Análisis Histórico Comparado del PIB per cápita y de la Inflación</t>
  </si>
  <si>
    <t>Eurozona, Estados Unidos y Reino Unido | Periodo 1993–2024</t>
  </si>
  <si>
    <t>Resumen metodológico</t>
  </si>
  <si>
    <t>• Datos del PIB per cápita expresados en dólares estadounidenses constantes del año 2015, lo que permite eliminar el efecto de la inflación y de las variaciones de tipo de cambio nominales, posibilitando una comparación homogénea entre países a lo largo del tiempo.</t>
  </si>
  <si>
    <t>• Datos de inflación medidos como variación anual del Índice de Precios al Consumo (IPC).</t>
  </si>
  <si>
    <t>• El periodo de análisis se extiende de 1993 a 2024 (32 observaciones anuales), tomándose 1993 como año base por ser el primer ejercicio con disponibilidad completa de información para todos los países de la muestra.</t>
  </si>
  <si>
    <t>• La agregación de la Eurozona se realiza sobre los veinte países miembros actuales (composición de 2024), aplicada retrospectivamente para todo el periodo. El PIB per cápita agregado se calcula como cociente entre la suma del PIB total en USD constantes 2015 y la suma de las poblaciones nacionales. La tasa de inflación agregada se calcula como media ponderada por población.</t>
  </si>
  <si>
    <t>• La población anual de cada país se obtiene de forma derivada como cociente entre el PIB total y el PIB per cápita, garantizando consistencia interna entre series.</t>
  </si>
  <si>
    <t>• Los estadísticos descriptivos calculados incluyen media aritmética, mediana, máximo, mínimo, desviación típica muestral, coeficiente de variación y tasa de crecimiento anual compuesta (CAGR).</t>
  </si>
  <si>
    <t>Estructura del libro</t>
  </si>
  <si>
    <t xml:space="preserve">   1. PORTADA — Resumen y metodología.</t>
  </si>
  <si>
    <t xml:space="preserve">   2. DATOS_PIBPC — PIB per cápita por país, USD constantes 2015.</t>
  </si>
  <si>
    <t xml:space="preserve">   3. DATOS_PIB — PIB total por país, USD constantes 2015.</t>
  </si>
  <si>
    <t xml:space="preserve">   4. DATOS_POB — Población derivada por país.</t>
  </si>
  <si>
    <t xml:space="preserve">   5. DATOS_INF — Inflación IPC por país.</t>
  </si>
  <si>
    <t xml:space="preserve">   6. AGREGADO — Series agregadas de Eurozona, Estados Unidos y Reino Unido.</t>
  </si>
  <si>
    <t xml:space="preserve">   7. CRECIMIENTO — Crecimiento interanual del PIB per cápita y comparativa con la inflación.</t>
  </si>
  <si>
    <t xml:space="preserve">   8. ESTADISTICOS — Análisis estadístico descriptivo completo.</t>
  </si>
  <si>
    <t xml:space="preserve">   9. GRAFICOS — Representación visual de los principales resultados.</t>
  </si>
  <si>
    <t>Convención de colores</t>
  </si>
  <si>
    <t xml:space="preserve">   • Texto azul: datos de entrada (hardcoded).</t>
  </si>
  <si>
    <t xml:space="preserve">   • Texto negro: fórmulas y cálculos.</t>
  </si>
  <si>
    <t xml:space="preserve">   • Texto verde: referencias a otras hojas.</t>
  </si>
  <si>
    <t>PIB per cápita por país — USD constantes de 2015</t>
  </si>
  <si>
    <t>Código</t>
  </si>
  <si>
    <t>País</t>
  </si>
  <si>
    <t>DEU</t>
  </si>
  <si>
    <t>Alemania</t>
  </si>
  <si>
    <t>AUT</t>
  </si>
  <si>
    <t>Austria</t>
  </si>
  <si>
    <t>BEL</t>
  </si>
  <si>
    <t>Bélgica</t>
  </si>
  <si>
    <t>CYP</t>
  </si>
  <si>
    <t>Chipre</t>
  </si>
  <si>
    <t>HRV</t>
  </si>
  <si>
    <t>Croacia</t>
  </si>
  <si>
    <t>SVK</t>
  </si>
  <si>
    <t>Eslovaquia</t>
  </si>
  <si>
    <t>SVN</t>
  </si>
  <si>
    <t>Eslovenia</t>
  </si>
  <si>
    <t>ESP</t>
  </si>
  <si>
    <t>España</t>
  </si>
  <si>
    <t>EST</t>
  </si>
  <si>
    <t>Estonia</t>
  </si>
  <si>
    <t>FIN</t>
  </si>
  <si>
    <t>Finlandia</t>
  </si>
  <si>
    <t>FRA</t>
  </si>
  <si>
    <t>Francia</t>
  </si>
  <si>
    <t>GRC</t>
  </si>
  <si>
    <t>Grecia</t>
  </si>
  <si>
    <t>IRL</t>
  </si>
  <si>
    <t>Irlanda</t>
  </si>
  <si>
    <t>ITA</t>
  </si>
  <si>
    <t>Italia</t>
  </si>
  <si>
    <t>LVA</t>
  </si>
  <si>
    <t>Letonia</t>
  </si>
  <si>
    <t>LTU</t>
  </si>
  <si>
    <t>Lituania</t>
  </si>
  <si>
    <t>LUX</t>
  </si>
  <si>
    <t>Luxemburgo</t>
  </si>
  <si>
    <t>MLT</t>
  </si>
  <si>
    <t>Malta</t>
  </si>
  <si>
    <t>NLD</t>
  </si>
  <si>
    <t>Países Bajos</t>
  </si>
  <si>
    <t>PRT</t>
  </si>
  <si>
    <t>Portugal</t>
  </si>
  <si>
    <t>USA</t>
  </si>
  <si>
    <t>Estados Unidos</t>
  </si>
  <si>
    <t>GBR</t>
  </si>
  <si>
    <t>Reino Unido</t>
  </si>
  <si>
    <t>PIB total por país — USD constantes de 2015</t>
  </si>
  <si>
    <t>Población por país — Derivada como PIB / PIB per cápita</t>
  </si>
  <si>
    <t>Inflación anual (IPC, % var.) por país</t>
  </si>
  <si>
    <t>Series Agregadas — Eurozona (20), Estados Unidos y Reino Unido</t>
  </si>
  <si>
    <t>PIB per cápita agregado: Σ(PIB) / Σ(Población). Inflación agregada Eurozona: media ponderada por población.</t>
  </si>
  <si>
    <t>Año</t>
  </si>
  <si>
    <t>PIB Eurozona
(USD 2015)</t>
  </si>
  <si>
    <t>Población Eurozona</t>
  </si>
  <si>
    <t>PIB pc Eurozona
(USD 2015)</t>
  </si>
  <si>
    <t>PIB pc EEUU
(USD 2015)</t>
  </si>
  <si>
    <t>PIB pc Reino Unido
(USD 2015)</t>
  </si>
  <si>
    <t>Inflación Eurozona (%)</t>
  </si>
  <si>
    <t>Inflación EEUU (%)</t>
  </si>
  <si>
    <t>Inflación Reino Unido (%)</t>
  </si>
  <si>
    <t>Crecimiento interanual del PIB per cápita e inflación comparada</t>
  </si>
  <si>
    <t>Tasa de variación interanual: g_t = (X_t / X_{t-1}) − 1. Inflación replicada para comparación visual.</t>
  </si>
  <si>
    <t>Δ PIB pc Eurozona (%)</t>
  </si>
  <si>
    <t>Δ PIB pc EEUU (%)</t>
  </si>
  <si>
    <t>Δ PIB pc Reino Unido (%)</t>
  </si>
  <si>
    <t>Tipo real implícito
Eurozona (pp)</t>
  </si>
  <si>
    <t>Tipo real implícito
EEUU (pp)</t>
  </si>
  <si>
    <t>Tipo real implícito
Reino Unido (pp)</t>
  </si>
  <si>
    <t>Análisis Estadístico Descriptivo</t>
  </si>
  <si>
    <t>Tabla 1. Estadísticos del PIB per cápita en niveles (USD constantes 2015), 1993–2024</t>
  </si>
  <si>
    <t>Estadístico</t>
  </si>
  <si>
    <t>Eurozona</t>
  </si>
  <si>
    <t>Unidad</t>
  </si>
  <si>
    <t>Media</t>
  </si>
  <si>
    <t>USD</t>
  </si>
  <si>
    <t>Mediana</t>
  </si>
  <si>
    <t>Máximo</t>
  </si>
  <si>
    <t>Mínimo</t>
  </si>
  <si>
    <t>Desv. típica (muestral)</t>
  </si>
  <si>
    <t>Coef. de variación</t>
  </si>
  <si>
    <t>σ/μ</t>
  </si>
  <si>
    <t>CAGR 1993–2024</t>
  </si>
  <si>
    <t>anualizada</t>
  </si>
  <si>
    <t>Crecimiento total acumulado</t>
  </si>
  <si>
    <t>1993→2024</t>
  </si>
  <si>
    <t>Tabla 2. Estadísticos de las tasas de crecimiento interanual del PIB per cápita, 1994–2024</t>
  </si>
  <si>
    <t>anual</t>
  </si>
  <si>
    <t>Coef. de variación (|σ/μ|)</t>
  </si>
  <si>
    <t>Tabla 3. Estadísticos de la inflación anual (IPC), 1993–2024</t>
  </si>
  <si>
    <t>Eurozona*</t>
  </si>
  <si>
    <t>%</t>
  </si>
  <si>
    <t>* La inflación agregada de la Eurozona se ve afectada en los primeros años de la muestra por episodios de hiperinflación en países post-soviéticos (Letonia, Lituania, Eslovaquia, Eslovenia, Estonia, Croacia), que se incorporaron al euro posteriormente. La media de los datos a partir de 1999 (creación del euro) ofrece una aproximación más representativa del régimen inflacionario de la moneda única.</t>
  </si>
  <si>
    <t>Media inflación Eurozona 1999–2024</t>
  </si>
  <si>
    <t>Representación Gráfica</t>
  </si>
  <si>
    <t>Δ PIB pc EEUU</t>
  </si>
  <si>
    <t>Inflación EEUU</t>
  </si>
  <si>
    <t>Δ PIB pc Eurozona</t>
  </si>
  <si>
    <t>Inflación Eurozona</t>
  </si>
  <si>
    <t>Δ PIB pc UK</t>
  </si>
  <si>
    <t>Inflación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</si>
</sst>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Calibri"/>
      <family val="2"/>
      <charset val="1"/>
    </font>
    <font>
      <b/>
      <sz val="18"/>
      <color rgb="FF1F3864"/>
      <name val="Calibri"/>
      <charset val="1"/>
    </font>
    <font>
      <i/>
      <sz val="12"/>
      <color rgb="FF2F5496"/>
      <name val="Calibri"/>
      <charset val="1"/>
    </font>
    <font>
      <b/>
      <sz val="11"/>
      <name val="Calibri"/>
      <charset val="1"/>
    </font>
    <font>
      <sz val="10"/>
      <name val="Calibri"/>
      <charset val="1"/>
    </font>
    <font>
      <b/>
      <sz val="14"/>
      <color rgb="FFFFFFFF"/>
      <name val="Calibri"/>
      <charset val="1"/>
    </font>
    <font>
      <b/>
      <sz val="11"/>
      <color rgb="FFFFFFFF"/>
      <name val="Calibri"/>
      <charset val="1"/>
    </font>
    <font>
      <sz val="10"/>
      <color rgb="FF0000FF"/>
      <name val="Calibri"/>
      <charset val="1"/>
    </font>
    <font>
      <sz val="10"/>
      <color rgb="FF008000"/>
      <name val="Calibri"/>
      <charset val="1"/>
    </font>
    <font>
      <i/>
      <sz val="10"/>
      <color rgb="FF595959"/>
      <name val="Calibri"/>
      <charset val="1"/>
    </font>
    <font>
      <sz val="10"/>
      <color rgb="FF000000"/>
      <name val="Calibri"/>
      <charset val="1"/>
    </font>
    <font>
      <b/>
      <sz val="10"/>
      <name val="Calibri"/>
      <charset val="1"/>
    </font>
    <font>
      <i/>
      <sz val="9"/>
      <color rgb="FF595959"/>
      <name val="Calibri"/>
      <charset val="1"/>
    </font>
  </fonts>
  <fills count="5">
    <fill>
      <patternFill patternType="none"/>
    </fill>
    <fill>
      <patternFill patternType="gray125"/>
    </fill>
    <fill>
      <patternFill patternType="solid">
        <fgColor rgb="FFD9E2F3"/>
        <bgColor rgb="FFD9D9D9"/>
      </patternFill>
    </fill>
    <fill>
      <patternFill patternType="solid">
        <fgColor rgb="FF1F3864"/>
        <bgColor rgb="FF333333"/>
      </patternFill>
    </fill>
    <fill>
      <patternFill patternType="solid">
        <fgColor rgb="FF2F5496"/>
        <bgColor rgb="FF1F3864"/>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24">
    <xf numFmtId="0" fontId="0" fillId="0" borderId="0" xfId="0"/>
    <xf numFmtId="0" fontId="12" fillId="0" borderId="0" xfId="0" applyFont="1" applyAlignment="1">
      <alignment vertical="top" wrapText="1"/>
    </xf>
    <xf numFmtId="0" fontId="3" fillId="2" borderId="0" xfId="0" applyFont="1" applyFill="1"/>
    <xf numFmtId="0" fontId="9" fillId="0" borderId="0" xfId="0" applyFont="1"/>
    <xf numFmtId="0" fontId="5" fillId="3" borderId="0" xfId="0" applyFont="1" applyFill="1" applyAlignment="1">
      <alignment horizontal="center" vertical="center" wrapText="1"/>
    </xf>
    <xf numFmtId="0" fontId="1" fillId="0" borderId="0" xfId="0" applyFont="1"/>
    <xf numFmtId="0" fontId="2" fillId="0" borderId="0" xfId="0" applyFont="1"/>
    <xf numFmtId="0" fontId="3" fillId="2" borderId="0" xfId="0" applyFont="1" applyFill="1"/>
    <xf numFmtId="0" fontId="4" fillId="0" borderId="0" xfId="0" applyFont="1" applyAlignment="1">
      <alignment vertical="top" wrapText="1"/>
    </xf>
    <xf numFmtId="0" fontId="3" fillId="0" borderId="0" xfId="0" applyFont="1" applyAlignment="1">
      <alignment vertical="top" wrapText="1"/>
    </xf>
    <xf numFmtId="0" fontId="6" fillId="4" borderId="1" xfId="0" applyFont="1" applyFill="1" applyBorder="1" applyAlignment="1">
      <alignment horizontal="center" vertical="center" wrapText="1"/>
    </xf>
    <xf numFmtId="0" fontId="4" fillId="0" borderId="1" xfId="0" applyFont="1" applyBorder="1" applyAlignment="1">
      <alignment horizontal="left" vertical="center"/>
    </xf>
    <xf numFmtId="3" fontId="7"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2" fontId="7" fillId="0" borderId="1" xfId="0" applyNumberFormat="1" applyFont="1" applyBorder="1" applyAlignment="1">
      <alignment horizontal="right" vertical="center"/>
    </xf>
    <xf numFmtId="1" fontId="7" fillId="0" borderId="1" xfId="0" applyNumberFormat="1" applyFont="1" applyBorder="1" applyAlignment="1">
      <alignment horizontal="right" vertical="center"/>
    </xf>
    <xf numFmtId="4" fontId="10" fillId="0" borderId="1" xfId="0" applyNumberFormat="1" applyFont="1" applyBorder="1" applyAlignment="1">
      <alignment horizontal="right" vertical="center"/>
    </xf>
    <xf numFmtId="4" fontId="8" fillId="0" borderId="1" xfId="0" applyNumberFormat="1" applyFont="1" applyBorder="1" applyAlignment="1">
      <alignment horizontal="right" vertical="center"/>
    </xf>
    <xf numFmtId="2" fontId="8" fillId="0" borderId="1" xfId="0" applyNumberFormat="1" applyFont="1" applyBorder="1" applyAlignment="1">
      <alignment horizontal="right" vertical="center"/>
    </xf>
    <xf numFmtId="10" fontId="10" fillId="0" borderId="1" xfId="0" applyNumberFormat="1" applyFont="1" applyBorder="1" applyAlignment="1">
      <alignment horizontal="right" vertical="center"/>
    </xf>
    <xf numFmtId="10" fontId="8" fillId="0" borderId="1" xfId="0" applyNumberFormat="1" applyFont="1" applyBorder="1" applyAlignment="1">
      <alignment horizontal="right" vertical="center"/>
    </xf>
    <xf numFmtId="0" fontId="11" fillId="0" borderId="1" xfId="0" applyFont="1" applyBorder="1" applyAlignment="1">
      <alignment horizontal="left" vertical="center"/>
    </xf>
    <xf numFmtId="164" fontId="10" fillId="0" borderId="1" xfId="0" applyNumberFormat="1" applyFont="1" applyBorder="1" applyAlignment="1">
      <alignment horizontal="right" vertical="center"/>
    </xf>
    <xf numFmtId="2" fontId="10"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8B855"/>
      <rgbColor rgb="FFFFCC00"/>
      <rgbColor rgb="FFFF9900"/>
      <rgbColor rgb="FFFF6600"/>
      <rgbColor rgb="FF595959"/>
      <rgbColor rgb="FF9E9E9E"/>
      <rgbColor rgb="FF1F3864"/>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ES" sz="1800" b="1" strike="noStrike" spc="-1">
                <a:solidFill>
                  <a:srgbClr val="000000"/>
                </a:solidFill>
                <a:latin typeface="Calibri"/>
              </a:rPr>
              <a:t>Evolución del PIB per cápita (USD constantes 2015), 1993–2024</a:t>
            </a:r>
          </a:p>
        </c:rich>
      </c:tx>
      <c:layout>
        <c:manualLayout>
          <c:xMode val="edge"/>
          <c:yMode val="edge"/>
          <c:x val="0.21923187084216625"/>
          <c:y val="1.8758686970688689E-2"/>
        </c:manualLayout>
      </c:layout>
      <c:overlay val="0"/>
      <c:spPr>
        <a:noFill/>
        <a:ln w="0">
          <a:noFill/>
        </a:ln>
      </c:spPr>
    </c:title>
    <c:autoTitleDeleted val="0"/>
    <c:plotArea>
      <c:layout>
        <c:manualLayout>
          <c:layoutTarget val="inner"/>
          <c:xMode val="edge"/>
          <c:yMode val="edge"/>
          <c:x val="0.26666907870808521"/>
          <c:y val="0.13253137259366962"/>
          <c:w val="0.67539432116585385"/>
          <c:h val="0.70351281963078183"/>
        </c:manualLayout>
      </c:layout>
      <c:lineChart>
        <c:grouping val="standard"/>
        <c:varyColors val="0"/>
        <c:ser>
          <c:idx val="0"/>
          <c:order val="0"/>
          <c:tx>
            <c:strRef>
              <c:f>AGREGADO!$D$4</c:f>
              <c:strCache>
                <c:ptCount val="1"/>
                <c:pt idx="0">
                  <c:v>PIB pc Eurozona
(USD 2015)</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AGREGADO!$A$5:$A$36</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AGREGADO!$D$5:$D$36</c:f>
              <c:numCache>
                <c:formatCode>#,##0.00</c:formatCode>
                <c:ptCount val="32"/>
                <c:pt idx="0">
                  <c:v>25954.893734740119</c:v>
                </c:pt>
                <c:pt idx="1">
                  <c:v>26527.670235226935</c:v>
                </c:pt>
                <c:pt idx="2">
                  <c:v>27116.996566582027</c:v>
                </c:pt>
                <c:pt idx="3">
                  <c:v>27525.137533182045</c:v>
                </c:pt>
                <c:pt idx="4">
                  <c:v>28221.97858243066</c:v>
                </c:pt>
                <c:pt idx="5">
                  <c:v>29009.383672575565</c:v>
                </c:pt>
                <c:pt idx="6">
                  <c:v>29809.205558592341</c:v>
                </c:pt>
                <c:pt idx="7">
                  <c:v>30877.177976500036</c:v>
                </c:pt>
                <c:pt idx="8">
                  <c:v>31449.217203633812</c:v>
                </c:pt>
                <c:pt idx="9">
                  <c:v>31592.270046365102</c:v>
                </c:pt>
                <c:pt idx="10">
                  <c:v>31655.910092464219</c:v>
                </c:pt>
                <c:pt idx="11">
                  <c:v>32207.671539275954</c:v>
                </c:pt>
                <c:pt idx="12">
                  <c:v>32606.343882208301</c:v>
                </c:pt>
                <c:pt idx="13">
                  <c:v>33529.941238949927</c:v>
                </c:pt>
                <c:pt idx="14">
                  <c:v>34357.019856920873</c:v>
                </c:pt>
                <c:pt idx="15">
                  <c:v>34325.238197399864</c:v>
                </c:pt>
                <c:pt idx="16">
                  <c:v>32674.466293256901</c:v>
                </c:pt>
                <c:pt idx="17">
                  <c:v>33281.489564171417</c:v>
                </c:pt>
                <c:pt idx="18">
                  <c:v>33936.101356456966</c:v>
                </c:pt>
                <c:pt idx="19">
                  <c:v>33551.827320643737</c:v>
                </c:pt>
                <c:pt idx="20">
                  <c:v>33444.917526160163</c:v>
                </c:pt>
                <c:pt idx="21">
                  <c:v>33875.400019848712</c:v>
                </c:pt>
                <c:pt idx="22">
                  <c:v>34507.091177779039</c:v>
                </c:pt>
                <c:pt idx="23">
                  <c:v>35032.767971718342</c:v>
                </c:pt>
                <c:pt idx="24">
                  <c:v>35881.877298079693</c:v>
                </c:pt>
                <c:pt idx="25">
                  <c:v>36409.743169353686</c:v>
                </c:pt>
                <c:pt idx="26">
                  <c:v>36933.408050606609</c:v>
                </c:pt>
                <c:pt idx="27">
                  <c:v>34647.783189424146</c:v>
                </c:pt>
                <c:pt idx="28">
                  <c:v>36854.751836015959</c:v>
                </c:pt>
                <c:pt idx="29">
                  <c:v>38093.924358457596</c:v>
                </c:pt>
                <c:pt idx="30">
                  <c:v>38102.568742286247</c:v>
                </c:pt>
                <c:pt idx="31">
                  <c:v>38296.428118130068</c:v>
                </c:pt>
              </c:numCache>
            </c:numRef>
          </c:val>
          <c:smooth val="0"/>
          <c:extLst>
            <c:ext xmlns:c16="http://schemas.microsoft.com/office/drawing/2014/chart" uri="{C3380CC4-5D6E-409C-BE32-E72D297353CC}">
              <c16:uniqueId val="{00000000-6464-4370-A82D-7907615F91E2}"/>
            </c:ext>
          </c:extLst>
        </c:ser>
        <c:ser>
          <c:idx val="1"/>
          <c:order val="1"/>
          <c:tx>
            <c:strRef>
              <c:f>AGREGADO!$E$4</c:f>
              <c:strCache>
                <c:ptCount val="1"/>
                <c:pt idx="0">
                  <c:v>PIB pc EEUU
(USD 2015)</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AGREGADO!$A$5:$A$36</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AGREGADO!$E$5:$E$36</c:f>
              <c:numCache>
                <c:formatCode>#,##0.00</c:formatCode>
                <c:ptCount val="32"/>
                <c:pt idx="0">
                  <c:v>39807.879503420598</c:v>
                </c:pt>
                <c:pt idx="1">
                  <c:v>40907.0184352707</c:v>
                </c:pt>
                <c:pt idx="2">
                  <c:v>41507.9135604158</c:v>
                </c:pt>
                <c:pt idx="3">
                  <c:v>42575.689693677297</c:v>
                </c:pt>
                <c:pt idx="4">
                  <c:v>43936.905001807303</c:v>
                </c:pt>
                <c:pt idx="5">
                  <c:v>45374.621518923297</c:v>
                </c:pt>
                <c:pt idx="6">
                  <c:v>47004.469017723</c:v>
                </c:pt>
                <c:pt idx="7">
                  <c:v>48379.755170578101</c:v>
                </c:pt>
                <c:pt idx="8">
                  <c:v>48361.016760707302</c:v>
                </c:pt>
                <c:pt idx="9">
                  <c:v>48729.158644262498</c:v>
                </c:pt>
                <c:pt idx="10">
                  <c:v>49662.752054983903</c:v>
                </c:pt>
                <c:pt idx="11">
                  <c:v>51098.557300741697</c:v>
                </c:pt>
                <c:pt idx="12">
                  <c:v>52393.451311309203</c:v>
                </c:pt>
                <c:pt idx="13">
                  <c:v>53335.5896950225</c:v>
                </c:pt>
                <c:pt idx="14">
                  <c:v>53889.396495177498</c:v>
                </c:pt>
                <c:pt idx="15">
                  <c:v>53442.713689977703</c:v>
                </c:pt>
                <c:pt idx="16">
                  <c:v>51611.321708771902</c:v>
                </c:pt>
                <c:pt idx="17">
                  <c:v>52555.769513402302</c:v>
                </c:pt>
                <c:pt idx="18">
                  <c:v>52956.6630340962</c:v>
                </c:pt>
                <c:pt idx="19">
                  <c:v>53738.147671459301</c:v>
                </c:pt>
                <c:pt idx="20">
                  <c:v>54462.625241240698</c:v>
                </c:pt>
                <c:pt idx="21">
                  <c:v>55394.451043532899</c:v>
                </c:pt>
                <c:pt idx="22">
                  <c:v>56572.918899606302</c:v>
                </c:pt>
                <c:pt idx="23">
                  <c:v>57151.470844837197</c:v>
                </c:pt>
                <c:pt idx="24">
                  <c:v>58151.7021391854</c:v>
                </c:pt>
                <c:pt idx="25">
                  <c:v>59526.665698712</c:v>
                </c:pt>
                <c:pt idx="26">
                  <c:v>60750.989862163697</c:v>
                </c:pt>
                <c:pt idx="27">
                  <c:v>59194.666517203099</c:v>
                </c:pt>
                <c:pt idx="28">
                  <c:v>62680.250358580503</c:v>
                </c:pt>
                <c:pt idx="29">
                  <c:v>63886.131706984102</c:v>
                </c:pt>
                <c:pt idx="30">
                  <c:v>65186.597724415697</c:v>
                </c:pt>
                <c:pt idx="31">
                  <c:v>66356.1706750101</c:v>
                </c:pt>
              </c:numCache>
            </c:numRef>
          </c:val>
          <c:smooth val="0"/>
          <c:extLst>
            <c:ext xmlns:c16="http://schemas.microsoft.com/office/drawing/2014/chart" uri="{C3380CC4-5D6E-409C-BE32-E72D297353CC}">
              <c16:uniqueId val="{00000001-6464-4370-A82D-7907615F91E2}"/>
            </c:ext>
          </c:extLst>
        </c:ser>
        <c:ser>
          <c:idx val="2"/>
          <c:order val="2"/>
          <c:tx>
            <c:strRef>
              <c:f>AGREGADO!$F$4</c:f>
              <c:strCache>
                <c:ptCount val="1"/>
                <c:pt idx="0">
                  <c:v>PIB pc Reino Unido
(USD 2015)</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AGREGADO!$A$5:$A$36</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AGREGADO!$F$5:$F$36</c:f>
              <c:numCache>
                <c:formatCode>#,##0.00</c:formatCode>
                <c:ptCount val="32"/>
                <c:pt idx="0">
                  <c:v>30862.411812165399</c:v>
                </c:pt>
                <c:pt idx="1">
                  <c:v>32308.795272211501</c:v>
                </c:pt>
                <c:pt idx="2">
                  <c:v>33362.016127250703</c:v>
                </c:pt>
                <c:pt idx="3">
                  <c:v>34147.345905403301</c:v>
                </c:pt>
                <c:pt idx="4">
                  <c:v>35721.6105928791</c:v>
                </c:pt>
                <c:pt idx="5">
                  <c:v>36773.928779040602</c:v>
                </c:pt>
                <c:pt idx="6">
                  <c:v>37730.715559116099</c:v>
                </c:pt>
                <c:pt idx="7">
                  <c:v>39297.136631726702</c:v>
                </c:pt>
                <c:pt idx="8">
                  <c:v>40082.135935682199</c:v>
                </c:pt>
                <c:pt idx="9">
                  <c:v>40594.932929344999</c:v>
                </c:pt>
                <c:pt idx="10">
                  <c:v>41706.830393012599</c:v>
                </c:pt>
                <c:pt idx="11">
                  <c:v>42434.820902363797</c:v>
                </c:pt>
                <c:pt idx="12">
                  <c:v>43320.562868443798</c:v>
                </c:pt>
                <c:pt idx="13">
                  <c:v>43944.998579906904</c:v>
                </c:pt>
                <c:pt idx="14">
                  <c:v>44882.141312303997</c:v>
                </c:pt>
                <c:pt idx="15">
                  <c:v>44508.287463147899</c:v>
                </c:pt>
                <c:pt idx="16">
                  <c:v>42146.509587996203</c:v>
                </c:pt>
                <c:pt idx="17">
                  <c:v>42762.720840223003</c:v>
                </c:pt>
                <c:pt idx="18">
                  <c:v>42791.093431347399</c:v>
                </c:pt>
                <c:pt idx="19">
                  <c:v>43136.7006795997</c:v>
                </c:pt>
                <c:pt idx="20">
                  <c:v>43585.193623864703</c:v>
                </c:pt>
                <c:pt idx="21">
                  <c:v>44627.881826864403</c:v>
                </c:pt>
                <c:pt idx="22">
                  <c:v>45255.344921620897</c:v>
                </c:pt>
                <c:pt idx="23">
                  <c:v>45888.010513074798</c:v>
                </c:pt>
                <c:pt idx="24">
                  <c:v>47018.025475767601</c:v>
                </c:pt>
                <c:pt idx="25">
                  <c:v>47514.776369345302</c:v>
                </c:pt>
                <c:pt idx="26">
                  <c:v>47864.758871263402</c:v>
                </c:pt>
                <c:pt idx="27">
                  <c:v>42982.463100764202</c:v>
                </c:pt>
                <c:pt idx="28">
                  <c:v>46487.342470654898</c:v>
                </c:pt>
                <c:pt idx="29">
                  <c:v>48433.009835766999</c:v>
                </c:pt>
                <c:pt idx="30">
                  <c:v>47934.9375098983</c:v>
                </c:pt>
                <c:pt idx="31">
                  <c:v>47960.910576194197</c:v>
                </c:pt>
              </c:numCache>
            </c:numRef>
          </c:val>
          <c:smooth val="0"/>
          <c:extLst>
            <c:ext xmlns:c16="http://schemas.microsoft.com/office/drawing/2014/chart" uri="{C3380CC4-5D6E-409C-BE32-E72D297353CC}">
              <c16:uniqueId val="{00000002-6464-4370-A82D-7907615F91E2}"/>
            </c:ext>
          </c:extLst>
        </c:ser>
        <c:dLbls>
          <c:showLegendKey val="0"/>
          <c:showVal val="0"/>
          <c:showCatName val="0"/>
          <c:showSerName val="0"/>
          <c:showPercent val="0"/>
          <c:showBubbleSize val="0"/>
        </c:dLbls>
        <c:hiLowLines>
          <c:spPr>
            <a:ln w="0">
              <a:noFill/>
            </a:ln>
          </c:spPr>
        </c:hiLowLines>
        <c:smooth val="0"/>
        <c:axId val="29627635"/>
        <c:axId val="40038710"/>
      </c:lineChart>
      <c:catAx>
        <c:axId val="29627635"/>
        <c:scaling>
          <c:orientation val="minMax"/>
        </c:scaling>
        <c:delete val="0"/>
        <c:axPos val="b"/>
        <c:title>
          <c:tx>
            <c:rich>
              <a:bodyPr rot="0"/>
              <a:lstStyle/>
              <a:p>
                <a:pPr>
                  <a:defRPr sz="1000" b="1" strike="noStrike" spc="-1">
                    <a:solidFill>
                      <a:srgbClr val="000000"/>
                    </a:solidFill>
                    <a:latin typeface="Calibri"/>
                  </a:defRPr>
                </a:pPr>
                <a:r>
                  <a:rPr lang="es-ES" sz="1000" b="1" strike="noStrike" spc="-1">
                    <a:solidFill>
                      <a:srgbClr val="000000"/>
                    </a:solidFill>
                    <a:latin typeface="Calibri"/>
                  </a:rPr>
                  <a:t>Año</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40038710"/>
        <c:crosses val="autoZero"/>
        <c:auto val="1"/>
        <c:lblAlgn val="ctr"/>
        <c:lblOffset val="100"/>
        <c:noMultiLvlLbl val="0"/>
      </c:catAx>
      <c:valAx>
        <c:axId val="4003871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ES" sz="1000" b="1" strike="noStrike" spc="-1">
                    <a:solidFill>
                      <a:srgbClr val="000000"/>
                    </a:solidFill>
                    <a:latin typeface="Calibri"/>
                  </a:rPr>
                  <a:t>USD per cápita (constantes 2015)</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29627635"/>
        <c:crosses val="autoZero"/>
        <c:crossBetween val="between"/>
      </c:valAx>
      <c:spPr>
        <a:noFill/>
        <a:ln w="0">
          <a:noFill/>
        </a:ln>
      </c:spPr>
    </c:plotArea>
    <c:legend>
      <c:legendPos val="r"/>
      <c:layout>
        <c:manualLayout>
          <c:xMode val="edge"/>
          <c:yMode val="edge"/>
          <c:x val="0"/>
          <c:y val="8.8303687879082258E-4"/>
          <c:w val="0.17240700786896776"/>
          <c:h val="0.27842235134688609"/>
        </c:manualLayout>
      </c:layout>
      <c:overlay val="0"/>
      <c:spPr>
        <a:noFill/>
        <a:ln w="0">
          <a:noFill/>
        </a:ln>
      </c:spPr>
      <c:txPr>
        <a:bodyPr/>
        <a:lstStyle/>
        <a:p>
          <a:pPr>
            <a:defRPr sz="1000" b="0" strike="noStrike" spc="-1">
              <a:solidFill>
                <a:srgbClr val="000000"/>
              </a:solidFill>
              <a:latin typeface="Calibri"/>
            </a:defRPr>
          </a:pPr>
          <a:endParaRPr lang="es-E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ES" sz="1800" b="1" strike="noStrike" spc="-1">
                <a:solidFill>
                  <a:srgbClr val="000000"/>
                </a:solidFill>
                <a:latin typeface="Calibri"/>
              </a:rPr>
              <a:t>Evolución de la inflación anual (IPC), 1993–2024</a:t>
            </a:r>
          </a:p>
        </c:rich>
      </c:tx>
      <c:overlay val="0"/>
      <c:spPr>
        <a:noFill/>
        <a:ln w="0">
          <a:noFill/>
        </a:ln>
      </c:spPr>
    </c:title>
    <c:autoTitleDeleted val="0"/>
    <c:plotArea>
      <c:layout/>
      <c:lineChart>
        <c:grouping val="standard"/>
        <c:varyColors val="0"/>
        <c:ser>
          <c:idx val="0"/>
          <c:order val="0"/>
          <c:tx>
            <c:strRef>
              <c:f>AGREGADO!$G$4</c:f>
              <c:strCache>
                <c:ptCount val="1"/>
                <c:pt idx="0">
                  <c:v>Inflación Eurozona (%)</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AGREGADO!$A$5:$A$36</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AGREGADO!$G$5:$G$36</c:f>
              <c:numCache>
                <c:formatCode>0.00</c:formatCode>
                <c:ptCount val="32"/>
                <c:pt idx="0">
                  <c:v>32.139995395327219</c:v>
                </c:pt>
                <c:pt idx="1">
                  <c:v>6.390097932393811</c:v>
                </c:pt>
                <c:pt idx="2">
                  <c:v>4.0147461267954183</c:v>
                </c:pt>
                <c:pt idx="3">
                  <c:v>3.2303092333293457</c:v>
                </c:pt>
                <c:pt idx="4">
                  <c:v>2.2307392327559215</c:v>
                </c:pt>
                <c:pt idx="5">
                  <c:v>1.7426009050488445</c:v>
                </c:pt>
                <c:pt idx="6">
                  <c:v>1.4964239008477445</c:v>
                </c:pt>
                <c:pt idx="7">
                  <c:v>2.4907562623982655</c:v>
                </c:pt>
                <c:pt idx="8">
                  <c:v>2.7284212632225331</c:v>
                </c:pt>
                <c:pt idx="9">
                  <c:v>2.2702900018031889</c:v>
                </c:pt>
                <c:pt idx="10">
                  <c:v>2.1925630180620161</c:v>
                </c:pt>
                <c:pt idx="11">
                  <c:v>2.2238677444197354</c:v>
                </c:pt>
                <c:pt idx="12">
                  <c:v>2.1579035075779278</c:v>
                </c:pt>
                <c:pt idx="13">
                  <c:v>2.1960450409206715</c:v>
                </c:pt>
                <c:pt idx="14">
                  <c:v>2.2613830673274959</c:v>
                </c:pt>
                <c:pt idx="15">
                  <c:v>3.4338249553473768</c:v>
                </c:pt>
                <c:pt idx="16">
                  <c:v>0.33941485681173766</c:v>
                </c:pt>
                <c:pt idx="17">
                  <c:v>1.5185468953835659</c:v>
                </c:pt>
                <c:pt idx="18">
                  <c:v>2.6484193737392872</c:v>
                </c:pt>
                <c:pt idx="19">
                  <c:v>2.3843611571251757</c:v>
                </c:pt>
                <c:pt idx="20">
                  <c:v>1.232556810478209</c:v>
                </c:pt>
                <c:pt idx="21">
                  <c:v>0.40312640338479838</c:v>
                </c:pt>
                <c:pt idx="22">
                  <c:v>6.6346597892436104E-2</c:v>
                </c:pt>
                <c:pt idx="23">
                  <c:v>0.19601948343040773</c:v>
                </c:pt>
                <c:pt idx="24">
                  <c:v>1.4351853708106048</c:v>
                </c:pt>
                <c:pt idx="25">
                  <c:v>1.6020059898263701</c:v>
                </c:pt>
                <c:pt idx="26">
                  <c:v>1.1402565897313812</c:v>
                </c:pt>
                <c:pt idx="27">
                  <c:v>0.18714692395596338</c:v>
                </c:pt>
                <c:pt idx="28">
                  <c:v>2.4091377841179189</c:v>
                </c:pt>
                <c:pt idx="29">
                  <c:v>7.7665475077708788</c:v>
                </c:pt>
                <c:pt idx="30">
                  <c:v>5.257358990937659</c:v>
                </c:pt>
                <c:pt idx="31">
                  <c:v>2.1721038556795365</c:v>
                </c:pt>
              </c:numCache>
            </c:numRef>
          </c:val>
          <c:smooth val="1"/>
          <c:extLst>
            <c:ext xmlns:c16="http://schemas.microsoft.com/office/drawing/2014/chart" uri="{C3380CC4-5D6E-409C-BE32-E72D297353CC}">
              <c16:uniqueId val="{00000000-F6DC-4059-9543-72D7BAFFDD0D}"/>
            </c:ext>
          </c:extLst>
        </c:ser>
        <c:ser>
          <c:idx val="1"/>
          <c:order val="1"/>
          <c:tx>
            <c:strRef>
              <c:f>AGREGADO!$H$4</c:f>
              <c:strCache>
                <c:ptCount val="1"/>
                <c:pt idx="0">
                  <c:v>Inflación EEUU (%)</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AGREGADO!$A$5:$A$36</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AGREGADO!$H$5:$H$36</c:f>
              <c:numCache>
                <c:formatCode>0.00</c:formatCode>
                <c:ptCount val="32"/>
                <c:pt idx="0">
                  <c:v>2.9516569663855901</c:v>
                </c:pt>
                <c:pt idx="1">
                  <c:v>2.60744159215453</c:v>
                </c:pt>
                <c:pt idx="2">
                  <c:v>2.8054196885366198</c:v>
                </c:pt>
                <c:pt idx="3">
                  <c:v>2.9312041999344198</c:v>
                </c:pt>
                <c:pt idx="4">
                  <c:v>2.3376899373073501</c:v>
                </c:pt>
                <c:pt idx="5">
                  <c:v>1.5522790987436399</c:v>
                </c:pt>
                <c:pt idx="6">
                  <c:v>2.1880271969735801</c:v>
                </c:pt>
                <c:pt idx="7">
                  <c:v>3.3768572714992899</c:v>
                </c:pt>
                <c:pt idx="8">
                  <c:v>2.8261711188540701</c:v>
                </c:pt>
                <c:pt idx="9">
                  <c:v>1.5860316265060099</c:v>
                </c:pt>
                <c:pt idx="10">
                  <c:v>2.2700949733611502</c:v>
                </c:pt>
                <c:pt idx="11">
                  <c:v>2.6772366930917202</c:v>
                </c:pt>
                <c:pt idx="12">
                  <c:v>3.3927468454955001</c:v>
                </c:pt>
                <c:pt idx="13">
                  <c:v>3.2259441007040399</c:v>
                </c:pt>
                <c:pt idx="14">
                  <c:v>2.8526724815013802</c:v>
                </c:pt>
                <c:pt idx="15">
                  <c:v>3.8391002966509999</c:v>
                </c:pt>
                <c:pt idx="16">
                  <c:v>-0.355546266299747</c:v>
                </c:pt>
                <c:pt idx="17">
                  <c:v>1.6400434423899</c:v>
                </c:pt>
                <c:pt idx="18">
                  <c:v>3.1568415686220002</c:v>
                </c:pt>
                <c:pt idx="19">
                  <c:v>2.0693372652606699</c:v>
                </c:pt>
                <c:pt idx="20">
                  <c:v>1.46483265562717</c:v>
                </c:pt>
                <c:pt idx="21">
                  <c:v>1.62222297740817</c:v>
                </c:pt>
                <c:pt idx="22">
                  <c:v>0.118627135552451</c:v>
                </c:pt>
                <c:pt idx="23">
                  <c:v>1.26158320570536</c:v>
                </c:pt>
                <c:pt idx="24">
                  <c:v>2.1301100036596101</c:v>
                </c:pt>
                <c:pt idx="25">
                  <c:v>2.44258329692817</c:v>
                </c:pt>
                <c:pt idx="26">
                  <c:v>1.8122100752602099</c:v>
                </c:pt>
                <c:pt idx="27">
                  <c:v>1.23358439630629</c:v>
                </c:pt>
                <c:pt idx="28">
                  <c:v>4.6978588636374203</c:v>
                </c:pt>
                <c:pt idx="29">
                  <c:v>8.0027998205212096</c:v>
                </c:pt>
                <c:pt idx="30">
                  <c:v>4.1163383837448801</c:v>
                </c:pt>
                <c:pt idx="31">
                  <c:v>2.9495252048520699</c:v>
                </c:pt>
              </c:numCache>
            </c:numRef>
          </c:val>
          <c:smooth val="1"/>
          <c:extLst>
            <c:ext xmlns:c16="http://schemas.microsoft.com/office/drawing/2014/chart" uri="{C3380CC4-5D6E-409C-BE32-E72D297353CC}">
              <c16:uniqueId val="{00000001-F6DC-4059-9543-72D7BAFFDD0D}"/>
            </c:ext>
          </c:extLst>
        </c:ser>
        <c:ser>
          <c:idx val="2"/>
          <c:order val="2"/>
          <c:tx>
            <c:strRef>
              <c:f>AGREGADO!$I$4</c:f>
              <c:strCache>
                <c:ptCount val="1"/>
                <c:pt idx="0">
                  <c:v>Inflación Reino Unido (%)</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AGREGADO!$A$5:$A$36</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AGREGADO!$I$5:$I$36</c:f>
              <c:numCache>
                <c:formatCode>0.00</c:formatCode>
                <c:ptCount val="32"/>
                <c:pt idx="0">
                  <c:v>2.5585779692970498</c:v>
                </c:pt>
                <c:pt idx="1">
                  <c:v>2.21901260504205</c:v>
                </c:pt>
                <c:pt idx="2">
                  <c:v>2.6974951830443201</c:v>
                </c:pt>
                <c:pt idx="3">
                  <c:v>2.85178236397749</c:v>
                </c:pt>
                <c:pt idx="4">
                  <c:v>2.2011431351088202</c:v>
                </c:pt>
                <c:pt idx="5">
                  <c:v>1.82056163731557</c:v>
                </c:pt>
                <c:pt idx="6">
                  <c:v>1.7529508005142</c:v>
                </c:pt>
                <c:pt idx="7">
                  <c:v>1.18295624210408</c:v>
                </c:pt>
                <c:pt idx="8">
                  <c:v>1.5323496027241801</c:v>
                </c:pt>
                <c:pt idx="9">
                  <c:v>1.52040245947455</c:v>
                </c:pt>
                <c:pt idx="10">
                  <c:v>1.3765003854201301</c:v>
                </c:pt>
                <c:pt idx="11">
                  <c:v>1.3903975668042201</c:v>
                </c:pt>
                <c:pt idx="12">
                  <c:v>2.0891364902506999</c:v>
                </c:pt>
                <c:pt idx="13">
                  <c:v>2.4556616643929101</c:v>
                </c:pt>
                <c:pt idx="14">
                  <c:v>2.38656150773327</c:v>
                </c:pt>
                <c:pt idx="15">
                  <c:v>3.52140856342539</c:v>
                </c:pt>
                <c:pt idx="16">
                  <c:v>1.9617317356010899</c:v>
                </c:pt>
                <c:pt idx="17">
                  <c:v>2.4926547246706598</c:v>
                </c:pt>
                <c:pt idx="18">
                  <c:v>3.8561124468282002</c:v>
                </c:pt>
                <c:pt idx="19">
                  <c:v>2.5732347965453002</c:v>
                </c:pt>
                <c:pt idx="20">
                  <c:v>2.2916666666665901</c:v>
                </c:pt>
                <c:pt idx="21">
                  <c:v>1.4511201629327899</c:v>
                </c:pt>
                <c:pt idx="22">
                  <c:v>0.36804684232536</c:v>
                </c:pt>
                <c:pt idx="23">
                  <c:v>1.0084173681141</c:v>
                </c:pt>
                <c:pt idx="24">
                  <c:v>2.55775577557747</c:v>
                </c:pt>
                <c:pt idx="25">
                  <c:v>2.29283990345938</c:v>
                </c:pt>
                <c:pt idx="26">
                  <c:v>1.73810460086513</c:v>
                </c:pt>
                <c:pt idx="27">
                  <c:v>0.98948670377249104</c:v>
                </c:pt>
                <c:pt idx="28">
                  <c:v>2.51837109614213</c:v>
                </c:pt>
                <c:pt idx="29">
                  <c:v>7.9220488314790201</c:v>
                </c:pt>
                <c:pt idx="30">
                  <c:v>6.7939670679396302</c:v>
                </c:pt>
                <c:pt idx="31">
                  <c:v>3.2715729463591998</c:v>
                </c:pt>
              </c:numCache>
            </c:numRef>
          </c:val>
          <c:smooth val="1"/>
          <c:extLst>
            <c:ext xmlns:c16="http://schemas.microsoft.com/office/drawing/2014/chart" uri="{C3380CC4-5D6E-409C-BE32-E72D297353CC}">
              <c16:uniqueId val="{00000002-F6DC-4059-9543-72D7BAFFDD0D}"/>
            </c:ext>
          </c:extLst>
        </c:ser>
        <c:dLbls>
          <c:showLegendKey val="0"/>
          <c:showVal val="0"/>
          <c:showCatName val="0"/>
          <c:showSerName val="0"/>
          <c:showPercent val="0"/>
          <c:showBubbleSize val="0"/>
        </c:dLbls>
        <c:hiLowLines>
          <c:spPr>
            <a:ln w="0">
              <a:noFill/>
            </a:ln>
          </c:spPr>
        </c:hiLowLines>
        <c:smooth val="0"/>
        <c:axId val="47321332"/>
        <c:axId val="6933914"/>
      </c:lineChart>
      <c:catAx>
        <c:axId val="47321332"/>
        <c:scaling>
          <c:orientation val="minMax"/>
        </c:scaling>
        <c:delete val="0"/>
        <c:axPos val="b"/>
        <c:title>
          <c:tx>
            <c:rich>
              <a:bodyPr rot="0"/>
              <a:lstStyle/>
              <a:p>
                <a:pPr>
                  <a:defRPr sz="1000" b="1" strike="noStrike" spc="-1">
                    <a:solidFill>
                      <a:srgbClr val="000000"/>
                    </a:solidFill>
                    <a:latin typeface="Calibri"/>
                  </a:defRPr>
                </a:pPr>
                <a:r>
                  <a:rPr lang="es-ES" sz="1000" b="1" strike="noStrike" spc="-1">
                    <a:solidFill>
                      <a:srgbClr val="000000"/>
                    </a:solidFill>
                    <a:latin typeface="Calibri"/>
                  </a:rPr>
                  <a:t>Año</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6933914"/>
        <c:crosses val="autoZero"/>
        <c:auto val="1"/>
        <c:lblAlgn val="ctr"/>
        <c:lblOffset val="100"/>
        <c:noMultiLvlLbl val="0"/>
      </c:catAx>
      <c:valAx>
        <c:axId val="693391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ES" sz="1000" b="1" strike="noStrike" spc="-1">
                    <a:solidFill>
                      <a:srgbClr val="000000"/>
                    </a:solidFill>
                    <a:latin typeface="Calibri"/>
                  </a:rPr>
                  <a:t>Inflación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4732133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E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ES" sz="1800" b="1" strike="noStrike" spc="-1">
                <a:solidFill>
                  <a:srgbClr val="000000"/>
                </a:solidFill>
                <a:latin typeface="Calibri"/>
              </a:rPr>
              <a:t>Crecimiento interanual del PIB per cápita, 1994–2024</a:t>
            </a:r>
          </a:p>
        </c:rich>
      </c:tx>
      <c:overlay val="0"/>
      <c:spPr>
        <a:noFill/>
        <a:ln w="0">
          <a:noFill/>
        </a:ln>
      </c:spPr>
    </c:title>
    <c:autoTitleDeleted val="0"/>
    <c:plotArea>
      <c:layout/>
      <c:lineChart>
        <c:grouping val="standard"/>
        <c:varyColors val="0"/>
        <c:ser>
          <c:idx val="0"/>
          <c:order val="0"/>
          <c:tx>
            <c:strRef>
              <c:f>CRECIMIENTO!$B$4</c:f>
              <c:strCache>
                <c:ptCount val="1"/>
                <c:pt idx="0">
                  <c:v>Δ PIB pc Eurozona (%)</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CRECIMIENTO!$A$5:$A$36</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CRECIMIENTO!$B$5:$B$36</c:f>
              <c:numCache>
                <c:formatCode>0.00%</c:formatCode>
                <c:ptCount val="32"/>
                <c:pt idx="1">
                  <c:v>2.2068150474458204E-2</c:v>
                </c:pt>
                <c:pt idx="2">
                  <c:v>2.2215532918247183E-2</c:v>
                </c:pt>
                <c:pt idx="3">
                  <c:v>1.5051112522652899E-2</c:v>
                </c:pt>
                <c:pt idx="4">
                  <c:v>2.5316532875033326E-2</c:v>
                </c:pt>
                <c:pt idx="5">
                  <c:v>2.7900421221178862E-2</c:v>
                </c:pt>
                <c:pt idx="6">
                  <c:v>2.7571143704542056E-2</c:v>
                </c:pt>
                <c:pt idx="7">
                  <c:v>3.5826933254175852E-2</c:v>
                </c:pt>
                <c:pt idx="8">
                  <c:v>1.8526279427774961E-2</c:v>
                </c:pt>
                <c:pt idx="9">
                  <c:v>4.5486932728728835E-3</c:v>
                </c:pt>
                <c:pt idx="10">
                  <c:v>2.0144182740182703E-3</c:v>
                </c:pt>
                <c:pt idx="11">
                  <c:v>1.7429966322247248E-2</c:v>
                </c:pt>
                <c:pt idx="12">
                  <c:v>1.2378179603768746E-2</c:v>
                </c:pt>
                <c:pt idx="13">
                  <c:v>2.8325695149329144E-2</c:v>
                </c:pt>
                <c:pt idx="14">
                  <c:v>2.4666867504383738E-2</c:v>
                </c:pt>
                <c:pt idx="15">
                  <c:v>-9.2504121874836809E-4</c:v>
                </c:pt>
                <c:pt idx="16">
                  <c:v>-4.8092074253049399E-2</c:v>
                </c:pt>
                <c:pt idx="17">
                  <c:v>1.8577909290588446E-2</c:v>
                </c:pt>
                <c:pt idx="18">
                  <c:v>1.9668945136105398E-2</c:v>
                </c:pt>
                <c:pt idx="19">
                  <c:v>-1.1323458513307183E-2</c:v>
                </c:pt>
                <c:pt idx="20">
                  <c:v>-3.1864075080583198E-3</c:v>
                </c:pt>
                <c:pt idx="21">
                  <c:v>1.2871387509083565E-2</c:v>
                </c:pt>
                <c:pt idx="22">
                  <c:v>1.8647489256516492E-2</c:v>
                </c:pt>
                <c:pt idx="23">
                  <c:v>1.5233877327736511E-2</c:v>
                </c:pt>
                <c:pt idx="24">
                  <c:v>2.4237574577230969E-2</c:v>
                </c:pt>
                <c:pt idx="25">
                  <c:v>1.4711211091016141E-2</c:v>
                </c:pt>
                <c:pt idx="26">
                  <c:v>1.438254806734518E-2</c:v>
                </c:pt>
                <c:pt idx="27">
                  <c:v>-6.1885024475690775E-2</c:v>
                </c:pt>
                <c:pt idx="28">
                  <c:v>6.3697254006872983E-2</c:v>
                </c:pt>
                <c:pt idx="29">
                  <c:v>3.3623141134019763E-2</c:v>
                </c:pt>
                <c:pt idx="30">
                  <c:v>2.2692290107229063E-4</c:v>
                </c:pt>
                <c:pt idx="31">
                  <c:v>5.0878295674767759E-3</c:v>
                </c:pt>
              </c:numCache>
            </c:numRef>
          </c:val>
          <c:smooth val="1"/>
          <c:extLst>
            <c:ext xmlns:c16="http://schemas.microsoft.com/office/drawing/2014/chart" uri="{C3380CC4-5D6E-409C-BE32-E72D297353CC}">
              <c16:uniqueId val="{00000000-7741-49E5-8771-A865B7232975}"/>
            </c:ext>
          </c:extLst>
        </c:ser>
        <c:ser>
          <c:idx val="1"/>
          <c:order val="1"/>
          <c:tx>
            <c:strRef>
              <c:f>CRECIMIENTO!$C$4</c:f>
              <c:strCache>
                <c:ptCount val="1"/>
                <c:pt idx="0">
                  <c:v>Δ PIB pc EEUU (%)</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CRECIMIENTO!$A$5:$A$36</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CRECIMIENTO!$C$5:$C$36</c:f>
              <c:numCache>
                <c:formatCode>0.00%</c:formatCode>
                <c:ptCount val="32"/>
                <c:pt idx="1">
                  <c:v>2.761108970287296E-2</c:v>
                </c:pt>
                <c:pt idx="2">
                  <c:v>1.4689291669983895E-2</c:v>
                </c:pt>
                <c:pt idx="3">
                  <c:v>2.572463999442709E-2</c:v>
                </c:pt>
                <c:pt idx="4">
                  <c:v>3.1971656077063093E-2</c:v>
                </c:pt>
                <c:pt idx="5">
                  <c:v>3.2722298419901374E-2</c:v>
                </c:pt>
                <c:pt idx="6">
                  <c:v>3.5919803719353993E-2</c:v>
                </c:pt>
                <c:pt idx="7">
                  <c:v>2.9258625437009966E-2</c:v>
                </c:pt>
                <c:pt idx="8">
                  <c:v>-3.8731923724566464E-4</c:v>
                </c:pt>
                <c:pt idx="9">
                  <c:v>7.6123685607516478E-3</c:v>
                </c:pt>
                <c:pt idx="10">
                  <c:v>1.9158824750842074E-2</c:v>
                </c:pt>
                <c:pt idx="11">
                  <c:v>2.8911109158190618E-2</c:v>
                </c:pt>
                <c:pt idx="12">
                  <c:v>2.5341107048216127E-2</c:v>
                </c:pt>
                <c:pt idx="13">
                  <c:v>1.7981987445631953E-2</c:v>
                </c:pt>
                <c:pt idx="14">
                  <c:v>1.0383438213052765E-2</c:v>
                </c:pt>
                <c:pt idx="15">
                  <c:v>-8.2888811946477681E-3</c:v>
                </c:pt>
                <c:pt idx="16">
                  <c:v>-3.4268319378947365E-2</c:v>
                </c:pt>
                <c:pt idx="17">
                  <c:v>1.8299236937965979E-2</c:v>
                </c:pt>
                <c:pt idx="18">
                  <c:v>7.6279640542922245E-3</c:v>
                </c:pt>
                <c:pt idx="19">
                  <c:v>1.4757059689730401E-2</c:v>
                </c:pt>
                <c:pt idx="20">
                  <c:v>1.3481625273179532E-2</c:v>
                </c:pt>
                <c:pt idx="21">
                  <c:v>1.7109454385731526E-2</c:v>
                </c:pt>
                <c:pt idx="22">
                  <c:v>2.1274113812361328E-2</c:v>
                </c:pt>
                <c:pt idx="23">
                  <c:v>1.022665891179475E-2</c:v>
                </c:pt>
                <c:pt idx="24">
                  <c:v>1.7501409492395537E-2</c:v>
                </c:pt>
                <c:pt idx="25">
                  <c:v>2.3644424994399005E-2</c:v>
                </c:pt>
                <c:pt idx="26">
                  <c:v>2.0567659032818764E-2</c:v>
                </c:pt>
                <c:pt idx="27">
                  <c:v>-2.5618073853474588E-2</c:v>
                </c:pt>
                <c:pt idx="28">
                  <c:v>5.8883410389083402E-2</c:v>
                </c:pt>
                <c:pt idx="29">
                  <c:v>1.9238617291810423E-2</c:v>
                </c:pt>
                <c:pt idx="30">
                  <c:v>2.0355998754099325E-2</c:v>
                </c:pt>
                <c:pt idx="31">
                  <c:v>1.7941923515304659E-2</c:v>
                </c:pt>
              </c:numCache>
            </c:numRef>
          </c:val>
          <c:smooth val="1"/>
          <c:extLst>
            <c:ext xmlns:c16="http://schemas.microsoft.com/office/drawing/2014/chart" uri="{C3380CC4-5D6E-409C-BE32-E72D297353CC}">
              <c16:uniqueId val="{00000001-7741-49E5-8771-A865B7232975}"/>
            </c:ext>
          </c:extLst>
        </c:ser>
        <c:ser>
          <c:idx val="2"/>
          <c:order val="2"/>
          <c:tx>
            <c:strRef>
              <c:f>CRECIMIENTO!$D$4</c:f>
              <c:strCache>
                <c:ptCount val="1"/>
                <c:pt idx="0">
                  <c:v>Δ PIB pc Reino Unido (%)</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CRECIMIENTO!$A$5:$A$36</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CRECIMIENTO!$D$5:$D$36</c:f>
              <c:numCache>
                <c:formatCode>0.00%</c:formatCode>
                <c:ptCount val="32"/>
                <c:pt idx="1">
                  <c:v>4.6865535618183962E-2</c:v>
                </c:pt>
                <c:pt idx="2">
                  <c:v>3.2598580236913532E-2</c:v>
                </c:pt>
                <c:pt idx="3">
                  <c:v>2.3539637867122876E-2</c:v>
                </c:pt>
                <c:pt idx="4">
                  <c:v>4.6102109717016004E-2</c:v>
                </c:pt>
                <c:pt idx="5">
                  <c:v>2.9458867298981062E-2</c:v>
                </c:pt>
                <c:pt idx="6">
                  <c:v>2.6018073451559598E-2</c:v>
                </c:pt>
                <c:pt idx="7">
                  <c:v>4.1515806138273437E-2</c:v>
                </c:pt>
                <c:pt idx="8">
                  <c:v>1.997599243202175E-2</c:v>
                </c:pt>
                <c:pt idx="9">
                  <c:v>1.2793654372253549E-2</c:v>
                </c:pt>
                <c:pt idx="10">
                  <c:v>2.7390055443688999E-2</c:v>
                </c:pt>
                <c:pt idx="11">
                  <c:v>1.7454946887384803E-2</c:v>
                </c:pt>
                <c:pt idx="12">
                  <c:v>2.0872998807228704E-2</c:v>
                </c:pt>
                <c:pt idx="13">
                  <c:v>1.4414302818719138E-2</c:v>
                </c:pt>
                <c:pt idx="14">
                  <c:v>2.1325355846651073E-2</c:v>
                </c:pt>
                <c:pt idx="15">
                  <c:v>-8.3296794276080943E-3</c:v>
                </c:pt>
                <c:pt idx="16">
                  <c:v>-5.3063777776379495E-2</c:v>
                </c:pt>
                <c:pt idx="17">
                  <c:v>1.4620694768097797E-2</c:v>
                </c:pt>
                <c:pt idx="18">
                  <c:v>6.634889119989662E-4</c:v>
                </c:pt>
                <c:pt idx="19">
                  <c:v>8.0766164296965925E-3</c:v>
                </c:pt>
                <c:pt idx="20">
                  <c:v>1.0397015469407522E-2</c:v>
                </c:pt>
                <c:pt idx="21">
                  <c:v>2.392299118819996E-2</c:v>
                </c:pt>
                <c:pt idx="22">
                  <c:v>1.4059889671456105E-2</c:v>
                </c:pt>
                <c:pt idx="23">
                  <c:v>1.3979908727900225E-2</c:v>
                </c:pt>
                <c:pt idx="24">
                  <c:v>2.4625494765584399E-2</c:v>
                </c:pt>
                <c:pt idx="25">
                  <c:v>1.0565116007130504E-2</c:v>
                </c:pt>
                <c:pt idx="26">
                  <c:v>7.3657613201751904E-3</c:v>
                </c:pt>
                <c:pt idx="27">
                  <c:v>-0.10200188793660436</c:v>
                </c:pt>
                <c:pt idx="28">
                  <c:v>8.1542078258153072E-2</c:v>
                </c:pt>
                <c:pt idx="29">
                  <c:v>4.1853701711176639E-2</c:v>
                </c:pt>
                <c:pt idx="30">
                  <c:v>-1.0283736805902222E-2</c:v>
                </c:pt>
                <c:pt idx="31">
                  <c:v>5.4183999489998413E-4</c:v>
                </c:pt>
              </c:numCache>
            </c:numRef>
          </c:val>
          <c:smooth val="1"/>
          <c:extLst>
            <c:ext xmlns:c16="http://schemas.microsoft.com/office/drawing/2014/chart" uri="{C3380CC4-5D6E-409C-BE32-E72D297353CC}">
              <c16:uniqueId val="{00000002-7741-49E5-8771-A865B7232975}"/>
            </c:ext>
          </c:extLst>
        </c:ser>
        <c:dLbls>
          <c:showLegendKey val="0"/>
          <c:showVal val="0"/>
          <c:showCatName val="0"/>
          <c:showSerName val="0"/>
          <c:showPercent val="0"/>
          <c:showBubbleSize val="0"/>
        </c:dLbls>
        <c:hiLowLines>
          <c:spPr>
            <a:ln w="0">
              <a:noFill/>
            </a:ln>
          </c:spPr>
        </c:hiLowLines>
        <c:smooth val="0"/>
        <c:axId val="94330150"/>
        <c:axId val="61742173"/>
      </c:lineChart>
      <c:catAx>
        <c:axId val="94330150"/>
        <c:scaling>
          <c:orientation val="minMax"/>
        </c:scaling>
        <c:delete val="0"/>
        <c:axPos val="b"/>
        <c:title>
          <c:tx>
            <c:rich>
              <a:bodyPr rot="0"/>
              <a:lstStyle/>
              <a:p>
                <a:pPr>
                  <a:defRPr sz="1000" b="1" strike="noStrike" spc="-1">
                    <a:solidFill>
                      <a:srgbClr val="000000"/>
                    </a:solidFill>
                    <a:latin typeface="Calibri"/>
                  </a:defRPr>
                </a:pPr>
                <a:r>
                  <a:rPr lang="es-ES" sz="1000" b="1" strike="noStrike" spc="-1">
                    <a:solidFill>
                      <a:srgbClr val="000000"/>
                    </a:solidFill>
                    <a:latin typeface="Calibri"/>
                  </a:rPr>
                  <a:t>Año</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61742173"/>
        <c:crosses val="autoZero"/>
        <c:auto val="1"/>
        <c:lblAlgn val="ctr"/>
        <c:lblOffset val="100"/>
        <c:noMultiLvlLbl val="0"/>
      </c:catAx>
      <c:valAx>
        <c:axId val="6174217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ES" sz="1000" b="1" strike="noStrike" spc="-1">
                    <a:solidFill>
                      <a:srgbClr val="000000"/>
                    </a:solidFill>
                    <a:latin typeface="Calibri"/>
                  </a:rPr>
                  <a:t>Variación interanual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9433015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E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ES" sz="1800" b="1" strike="noStrike" spc="-1">
                <a:solidFill>
                  <a:srgbClr val="000000"/>
                </a:solidFill>
                <a:latin typeface="Calibri"/>
              </a:rPr>
              <a:t>Crecimiento del PIB per cápita vs. inflación — Estados Unidos</a:t>
            </a:r>
          </a:p>
        </c:rich>
      </c:tx>
      <c:overlay val="0"/>
      <c:spPr>
        <a:noFill/>
        <a:ln w="0">
          <a:noFill/>
        </a:ln>
      </c:spPr>
    </c:title>
    <c:autoTitleDeleted val="0"/>
    <c:plotArea>
      <c:layout/>
      <c:lineChart>
        <c:grouping val="standard"/>
        <c:varyColors val="0"/>
        <c:ser>
          <c:idx val="0"/>
          <c:order val="0"/>
          <c:tx>
            <c:strRef>
              <c:f>GRAFICOS!$M$3</c:f>
              <c:strCache>
                <c:ptCount val="1"/>
                <c:pt idx="0">
                  <c:v>Δ PIB pc EEUU</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GRAFICOS!$L$4:$L$35</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GRAFICOS!$M$4:$M$35</c:f>
              <c:numCache>
                <c:formatCode>0.00%</c:formatCode>
                <c:ptCount val="32"/>
                <c:pt idx="0">
                  <c:v>0</c:v>
                </c:pt>
                <c:pt idx="1">
                  <c:v>2.761108970287296E-2</c:v>
                </c:pt>
                <c:pt idx="2">
                  <c:v>1.4689291669983895E-2</c:v>
                </c:pt>
                <c:pt idx="3">
                  <c:v>2.572463999442709E-2</c:v>
                </c:pt>
                <c:pt idx="4">
                  <c:v>3.1971656077063093E-2</c:v>
                </c:pt>
                <c:pt idx="5">
                  <c:v>3.2722298419901374E-2</c:v>
                </c:pt>
                <c:pt idx="6">
                  <c:v>3.5919803719353993E-2</c:v>
                </c:pt>
                <c:pt idx="7">
                  <c:v>2.9258625437009966E-2</c:v>
                </c:pt>
                <c:pt idx="8">
                  <c:v>-3.8731923724566464E-4</c:v>
                </c:pt>
                <c:pt idx="9">
                  <c:v>7.6123685607516478E-3</c:v>
                </c:pt>
                <c:pt idx="10">
                  <c:v>1.9158824750842074E-2</c:v>
                </c:pt>
                <c:pt idx="11">
                  <c:v>2.8911109158190618E-2</c:v>
                </c:pt>
                <c:pt idx="12">
                  <c:v>2.5341107048216127E-2</c:v>
                </c:pt>
                <c:pt idx="13">
                  <c:v>1.7981987445631953E-2</c:v>
                </c:pt>
                <c:pt idx="14">
                  <c:v>1.0383438213052765E-2</c:v>
                </c:pt>
                <c:pt idx="15">
                  <c:v>-8.2888811946477681E-3</c:v>
                </c:pt>
                <c:pt idx="16">
                  <c:v>-3.4268319378947365E-2</c:v>
                </c:pt>
                <c:pt idx="17">
                  <c:v>1.8299236937965979E-2</c:v>
                </c:pt>
                <c:pt idx="18">
                  <c:v>7.6279640542922245E-3</c:v>
                </c:pt>
                <c:pt idx="19">
                  <c:v>1.4757059689730401E-2</c:v>
                </c:pt>
                <c:pt idx="20">
                  <c:v>1.3481625273179532E-2</c:v>
                </c:pt>
                <c:pt idx="21">
                  <c:v>1.7109454385731526E-2</c:v>
                </c:pt>
                <c:pt idx="22">
                  <c:v>2.1274113812361328E-2</c:v>
                </c:pt>
                <c:pt idx="23">
                  <c:v>1.022665891179475E-2</c:v>
                </c:pt>
                <c:pt idx="24">
                  <c:v>1.7501409492395537E-2</c:v>
                </c:pt>
                <c:pt idx="25">
                  <c:v>2.3644424994399005E-2</c:v>
                </c:pt>
                <c:pt idx="26">
                  <c:v>2.0567659032818764E-2</c:v>
                </c:pt>
                <c:pt idx="27">
                  <c:v>-2.5618073853474588E-2</c:v>
                </c:pt>
                <c:pt idx="28">
                  <c:v>5.8883410389083402E-2</c:v>
                </c:pt>
                <c:pt idx="29">
                  <c:v>1.9238617291810423E-2</c:v>
                </c:pt>
                <c:pt idx="30">
                  <c:v>2.0355998754099325E-2</c:v>
                </c:pt>
                <c:pt idx="31">
                  <c:v>1.7941923515304659E-2</c:v>
                </c:pt>
              </c:numCache>
            </c:numRef>
          </c:val>
          <c:smooth val="1"/>
          <c:extLst>
            <c:ext xmlns:c16="http://schemas.microsoft.com/office/drawing/2014/chart" uri="{C3380CC4-5D6E-409C-BE32-E72D297353CC}">
              <c16:uniqueId val="{00000000-10DF-4B48-9AD4-A535E083C56B}"/>
            </c:ext>
          </c:extLst>
        </c:ser>
        <c:ser>
          <c:idx val="1"/>
          <c:order val="1"/>
          <c:tx>
            <c:strRef>
              <c:f>GRAFICOS!$N$3</c:f>
              <c:strCache>
                <c:ptCount val="1"/>
                <c:pt idx="0">
                  <c:v>Inflación EEUU</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GRAFICOS!$L$4:$L$35</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GRAFICOS!$N$4:$N$35</c:f>
              <c:numCache>
                <c:formatCode>0.00%</c:formatCode>
                <c:ptCount val="32"/>
                <c:pt idx="0">
                  <c:v>2.95165696638559E-2</c:v>
                </c:pt>
                <c:pt idx="1">
                  <c:v>2.6074415921545298E-2</c:v>
                </c:pt>
                <c:pt idx="2">
                  <c:v>2.8054196885366197E-2</c:v>
                </c:pt>
                <c:pt idx="3">
                  <c:v>2.9312041999344198E-2</c:v>
                </c:pt>
                <c:pt idx="4">
                  <c:v>2.3376899373073502E-2</c:v>
                </c:pt>
                <c:pt idx="5">
                  <c:v>1.5522790987436398E-2</c:v>
                </c:pt>
                <c:pt idx="6">
                  <c:v>2.1880271969735802E-2</c:v>
                </c:pt>
                <c:pt idx="7">
                  <c:v>3.3768572714992902E-2</c:v>
                </c:pt>
                <c:pt idx="8">
                  <c:v>2.8261711188540702E-2</c:v>
                </c:pt>
                <c:pt idx="9">
                  <c:v>1.5860316265060098E-2</c:v>
                </c:pt>
                <c:pt idx="10">
                  <c:v>2.2700949733611503E-2</c:v>
                </c:pt>
                <c:pt idx="11">
                  <c:v>2.6772366930917203E-2</c:v>
                </c:pt>
                <c:pt idx="12">
                  <c:v>3.3927468454955E-2</c:v>
                </c:pt>
                <c:pt idx="13">
                  <c:v>3.2259441007040396E-2</c:v>
                </c:pt>
                <c:pt idx="14">
                  <c:v>2.8526724815013803E-2</c:v>
                </c:pt>
                <c:pt idx="15">
                  <c:v>3.8391002966509997E-2</c:v>
                </c:pt>
                <c:pt idx="16">
                  <c:v>-3.55546266299747E-3</c:v>
                </c:pt>
                <c:pt idx="17">
                  <c:v>1.6400434423899001E-2</c:v>
                </c:pt>
                <c:pt idx="18">
                  <c:v>3.156841568622E-2</c:v>
                </c:pt>
                <c:pt idx="19">
                  <c:v>2.0693372652606699E-2</c:v>
                </c:pt>
                <c:pt idx="20">
                  <c:v>1.46483265562717E-2</c:v>
                </c:pt>
                <c:pt idx="21">
                  <c:v>1.6222229774081699E-2</c:v>
                </c:pt>
                <c:pt idx="22">
                  <c:v>1.18627135552451E-3</c:v>
                </c:pt>
                <c:pt idx="23">
                  <c:v>1.26158320570536E-2</c:v>
                </c:pt>
                <c:pt idx="24">
                  <c:v>2.1301100036596101E-2</c:v>
                </c:pt>
                <c:pt idx="25">
                  <c:v>2.4425832969281702E-2</c:v>
                </c:pt>
                <c:pt idx="26">
                  <c:v>1.8122100752602101E-2</c:v>
                </c:pt>
                <c:pt idx="27">
                  <c:v>1.2335843963062899E-2</c:v>
                </c:pt>
                <c:pt idx="28">
                  <c:v>4.6978588636374205E-2</c:v>
                </c:pt>
                <c:pt idx="29">
                  <c:v>8.00279982052121E-2</c:v>
                </c:pt>
                <c:pt idx="30">
                  <c:v>4.1163383837448803E-2</c:v>
                </c:pt>
                <c:pt idx="31">
                  <c:v>2.9495252048520701E-2</c:v>
                </c:pt>
              </c:numCache>
            </c:numRef>
          </c:val>
          <c:smooth val="1"/>
          <c:extLst>
            <c:ext xmlns:c16="http://schemas.microsoft.com/office/drawing/2014/chart" uri="{C3380CC4-5D6E-409C-BE32-E72D297353CC}">
              <c16:uniqueId val="{00000001-10DF-4B48-9AD4-A535E083C56B}"/>
            </c:ext>
          </c:extLst>
        </c:ser>
        <c:dLbls>
          <c:showLegendKey val="0"/>
          <c:showVal val="0"/>
          <c:showCatName val="0"/>
          <c:showSerName val="0"/>
          <c:showPercent val="0"/>
          <c:showBubbleSize val="0"/>
        </c:dLbls>
        <c:hiLowLines>
          <c:spPr>
            <a:ln w="0">
              <a:noFill/>
            </a:ln>
          </c:spPr>
        </c:hiLowLines>
        <c:smooth val="0"/>
        <c:axId val="28373121"/>
        <c:axId val="44530206"/>
      </c:lineChart>
      <c:catAx>
        <c:axId val="28373121"/>
        <c:scaling>
          <c:orientation val="minMax"/>
        </c:scaling>
        <c:delete val="0"/>
        <c:axPos val="b"/>
        <c:title>
          <c:tx>
            <c:rich>
              <a:bodyPr rot="0"/>
              <a:lstStyle/>
              <a:p>
                <a:pPr>
                  <a:defRPr sz="1000" b="1" strike="noStrike" spc="-1">
                    <a:solidFill>
                      <a:srgbClr val="000000"/>
                    </a:solidFill>
                    <a:latin typeface="Calibri"/>
                  </a:defRPr>
                </a:pPr>
                <a:r>
                  <a:rPr lang="es-ES" sz="1000" b="1" strike="noStrike" spc="-1">
                    <a:solidFill>
                      <a:srgbClr val="000000"/>
                    </a:solidFill>
                    <a:latin typeface="Calibri"/>
                  </a:rPr>
                  <a:t>Año</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44530206"/>
        <c:crosses val="autoZero"/>
        <c:auto val="1"/>
        <c:lblAlgn val="ctr"/>
        <c:lblOffset val="100"/>
        <c:noMultiLvlLbl val="0"/>
      </c:catAx>
      <c:valAx>
        <c:axId val="4453020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ES" sz="1000" b="1" strike="noStrike" spc="-1">
                    <a:solidFill>
                      <a:srgbClr val="000000"/>
                    </a:solidFill>
                    <a:latin typeface="Calibri"/>
                  </a:rPr>
                  <a:t>%</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2837312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E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Crecimiento del PIB per cápita vs. inflación — Eurozona</a:t>
            </a:r>
          </a:p>
        </c:rich>
      </c:tx>
      <c:overlay val="0"/>
      <c:spPr>
        <a:noFill/>
        <a:ln w="0">
          <a:noFill/>
        </a:ln>
      </c:spPr>
    </c:title>
    <c:autoTitleDeleted val="0"/>
    <c:plotArea>
      <c:layout/>
      <c:lineChart>
        <c:grouping val="standard"/>
        <c:varyColors val="0"/>
        <c:ser>
          <c:idx val="0"/>
          <c:order val="0"/>
          <c:tx>
            <c:strRef>
              <c:f>GRAFICOS!$Q$3</c:f>
              <c:strCache>
                <c:ptCount val="1"/>
                <c:pt idx="0">
                  <c:v>Δ PIB pc Eurozona</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GRAFICOS!$P$4:$P$35</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GRAFICOS!$Q$4:$Q$35</c:f>
              <c:numCache>
                <c:formatCode>0.00%</c:formatCode>
                <c:ptCount val="32"/>
                <c:pt idx="0">
                  <c:v>0</c:v>
                </c:pt>
                <c:pt idx="1">
                  <c:v>2.2068150474458204E-2</c:v>
                </c:pt>
                <c:pt idx="2">
                  <c:v>2.2215532918247183E-2</c:v>
                </c:pt>
                <c:pt idx="3">
                  <c:v>1.5051112522652899E-2</c:v>
                </c:pt>
                <c:pt idx="4">
                  <c:v>2.5316532875033326E-2</c:v>
                </c:pt>
                <c:pt idx="5">
                  <c:v>2.7900421221178862E-2</c:v>
                </c:pt>
                <c:pt idx="6">
                  <c:v>2.7571143704542056E-2</c:v>
                </c:pt>
                <c:pt idx="7">
                  <c:v>3.5826933254175852E-2</c:v>
                </c:pt>
                <c:pt idx="8">
                  <c:v>1.8526279427774961E-2</c:v>
                </c:pt>
                <c:pt idx="9">
                  <c:v>4.5486932728728835E-3</c:v>
                </c:pt>
                <c:pt idx="10">
                  <c:v>2.0144182740182703E-3</c:v>
                </c:pt>
                <c:pt idx="11">
                  <c:v>1.7429966322247248E-2</c:v>
                </c:pt>
                <c:pt idx="12">
                  <c:v>1.2378179603768746E-2</c:v>
                </c:pt>
                <c:pt idx="13">
                  <c:v>2.8325695149329144E-2</c:v>
                </c:pt>
                <c:pt idx="14">
                  <c:v>2.4666867504383738E-2</c:v>
                </c:pt>
                <c:pt idx="15">
                  <c:v>-9.2504121874836809E-4</c:v>
                </c:pt>
                <c:pt idx="16">
                  <c:v>-4.8092074253049399E-2</c:v>
                </c:pt>
                <c:pt idx="17">
                  <c:v>1.8577909290588446E-2</c:v>
                </c:pt>
                <c:pt idx="18">
                  <c:v>1.9668945136105398E-2</c:v>
                </c:pt>
                <c:pt idx="19">
                  <c:v>-1.1323458513307183E-2</c:v>
                </c:pt>
                <c:pt idx="20">
                  <c:v>-3.1864075080583198E-3</c:v>
                </c:pt>
                <c:pt idx="21">
                  <c:v>1.2871387509083565E-2</c:v>
                </c:pt>
                <c:pt idx="22">
                  <c:v>1.8647489256516492E-2</c:v>
                </c:pt>
                <c:pt idx="23">
                  <c:v>1.5233877327736511E-2</c:v>
                </c:pt>
                <c:pt idx="24">
                  <c:v>2.4237574577230969E-2</c:v>
                </c:pt>
                <c:pt idx="25">
                  <c:v>1.4711211091016141E-2</c:v>
                </c:pt>
                <c:pt idx="26">
                  <c:v>1.438254806734518E-2</c:v>
                </c:pt>
                <c:pt idx="27">
                  <c:v>-6.1885024475690775E-2</c:v>
                </c:pt>
                <c:pt idx="28">
                  <c:v>6.3697254006872983E-2</c:v>
                </c:pt>
                <c:pt idx="29">
                  <c:v>3.3623141134019763E-2</c:v>
                </c:pt>
                <c:pt idx="30">
                  <c:v>2.2692290107229063E-4</c:v>
                </c:pt>
                <c:pt idx="31">
                  <c:v>5.0878295674767759E-3</c:v>
                </c:pt>
              </c:numCache>
            </c:numRef>
          </c:val>
          <c:smooth val="1"/>
          <c:extLst>
            <c:ext xmlns:c16="http://schemas.microsoft.com/office/drawing/2014/chart" uri="{C3380CC4-5D6E-409C-BE32-E72D297353CC}">
              <c16:uniqueId val="{00000000-F0B2-4446-A2F8-4D2B41695D6C}"/>
            </c:ext>
          </c:extLst>
        </c:ser>
        <c:ser>
          <c:idx val="1"/>
          <c:order val="1"/>
          <c:tx>
            <c:strRef>
              <c:f>GRAFICOS!$R$3</c:f>
              <c:strCache>
                <c:ptCount val="1"/>
                <c:pt idx="0">
                  <c:v>Inflación Eurozona</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GRAFICOS!$P$4:$P$35</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GRAFICOS!$R$4:$R$35</c:f>
              <c:numCache>
                <c:formatCode>0.00%</c:formatCode>
                <c:ptCount val="32"/>
                <c:pt idx="0">
                  <c:v>0.3213999539532722</c:v>
                </c:pt>
                <c:pt idx="1">
                  <c:v>6.3900979323938109E-2</c:v>
                </c:pt>
                <c:pt idx="2">
                  <c:v>4.0147461267954182E-2</c:v>
                </c:pt>
                <c:pt idx="3">
                  <c:v>3.2303092333293454E-2</c:v>
                </c:pt>
                <c:pt idx="4">
                  <c:v>2.2307392327559215E-2</c:v>
                </c:pt>
                <c:pt idx="5">
                  <c:v>1.7426009050488446E-2</c:v>
                </c:pt>
                <c:pt idx="6">
                  <c:v>1.4964239008477445E-2</c:v>
                </c:pt>
                <c:pt idx="7">
                  <c:v>2.4907562623982655E-2</c:v>
                </c:pt>
                <c:pt idx="8">
                  <c:v>2.728421263222533E-2</c:v>
                </c:pt>
                <c:pt idx="9">
                  <c:v>2.270290001803189E-2</c:v>
                </c:pt>
                <c:pt idx="10">
                  <c:v>2.1925630180620163E-2</c:v>
                </c:pt>
                <c:pt idx="11">
                  <c:v>2.2238677444197354E-2</c:v>
                </c:pt>
                <c:pt idx="12">
                  <c:v>2.1579035075779279E-2</c:v>
                </c:pt>
                <c:pt idx="13">
                  <c:v>2.1960450409206717E-2</c:v>
                </c:pt>
                <c:pt idx="14">
                  <c:v>2.2613830673274958E-2</c:v>
                </c:pt>
                <c:pt idx="15">
                  <c:v>3.4338249553473768E-2</c:v>
                </c:pt>
                <c:pt idx="16">
                  <c:v>3.3941485681173765E-3</c:v>
                </c:pt>
                <c:pt idx="17">
                  <c:v>1.5185468953835659E-2</c:v>
                </c:pt>
                <c:pt idx="18">
                  <c:v>2.6484193737392872E-2</c:v>
                </c:pt>
                <c:pt idx="19">
                  <c:v>2.3843611571251758E-2</c:v>
                </c:pt>
                <c:pt idx="20">
                  <c:v>1.232556810478209E-2</c:v>
                </c:pt>
                <c:pt idx="21">
                  <c:v>4.031264033847984E-3</c:v>
                </c:pt>
                <c:pt idx="22">
                  <c:v>6.6346597892436108E-4</c:v>
                </c:pt>
                <c:pt idx="23">
                  <c:v>1.9601948343040774E-3</c:v>
                </c:pt>
                <c:pt idx="24">
                  <c:v>1.4351853708106049E-2</c:v>
                </c:pt>
                <c:pt idx="25">
                  <c:v>1.6020059898263703E-2</c:v>
                </c:pt>
                <c:pt idx="26">
                  <c:v>1.1402565897313812E-2</c:v>
                </c:pt>
                <c:pt idx="27">
                  <c:v>1.8714692395596338E-3</c:v>
                </c:pt>
                <c:pt idx="28">
                  <c:v>2.4091377841179189E-2</c:v>
                </c:pt>
                <c:pt idx="29">
                  <c:v>7.7665475077708782E-2</c:v>
                </c:pt>
                <c:pt idx="30">
                  <c:v>5.2573589909376592E-2</c:v>
                </c:pt>
                <c:pt idx="31">
                  <c:v>2.1721038556795365E-2</c:v>
                </c:pt>
              </c:numCache>
            </c:numRef>
          </c:val>
          <c:smooth val="1"/>
          <c:extLst>
            <c:ext xmlns:c16="http://schemas.microsoft.com/office/drawing/2014/chart" uri="{C3380CC4-5D6E-409C-BE32-E72D297353CC}">
              <c16:uniqueId val="{00000001-F0B2-4446-A2F8-4D2B41695D6C}"/>
            </c:ext>
          </c:extLst>
        </c:ser>
        <c:dLbls>
          <c:showLegendKey val="0"/>
          <c:showVal val="0"/>
          <c:showCatName val="0"/>
          <c:showSerName val="0"/>
          <c:showPercent val="0"/>
          <c:showBubbleSize val="0"/>
        </c:dLbls>
        <c:hiLowLines>
          <c:spPr>
            <a:ln w="0">
              <a:noFill/>
            </a:ln>
          </c:spPr>
        </c:hiLowLines>
        <c:smooth val="0"/>
        <c:axId val="47107273"/>
        <c:axId val="97729942"/>
      </c:lineChart>
      <c:catAx>
        <c:axId val="47107273"/>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Año</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97729942"/>
        <c:crosses val="autoZero"/>
        <c:auto val="1"/>
        <c:lblAlgn val="ctr"/>
        <c:lblOffset val="100"/>
        <c:noMultiLvlLbl val="0"/>
      </c:catAx>
      <c:valAx>
        <c:axId val="9772994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4710727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E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Crecimiento del PIB per cápita vs. inflación — Reino Unido</a:t>
            </a:r>
          </a:p>
        </c:rich>
      </c:tx>
      <c:overlay val="0"/>
      <c:spPr>
        <a:noFill/>
        <a:ln w="0">
          <a:noFill/>
        </a:ln>
      </c:spPr>
    </c:title>
    <c:autoTitleDeleted val="0"/>
    <c:plotArea>
      <c:layout/>
      <c:lineChart>
        <c:grouping val="standard"/>
        <c:varyColors val="0"/>
        <c:ser>
          <c:idx val="0"/>
          <c:order val="0"/>
          <c:tx>
            <c:strRef>
              <c:f>GRAFICOS!$U$3</c:f>
              <c:strCache>
                <c:ptCount val="1"/>
                <c:pt idx="0">
                  <c:v>Δ PIB pc UK</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GRAFICOS!$T$4:$T$35</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GRAFICOS!$U$4:$U$35</c:f>
              <c:numCache>
                <c:formatCode>0.00%</c:formatCode>
                <c:ptCount val="32"/>
                <c:pt idx="0">
                  <c:v>0</c:v>
                </c:pt>
                <c:pt idx="1">
                  <c:v>4.6865535618183962E-2</c:v>
                </c:pt>
                <c:pt idx="2">
                  <c:v>3.2598580236913532E-2</c:v>
                </c:pt>
                <c:pt idx="3">
                  <c:v>2.3539637867122876E-2</c:v>
                </c:pt>
                <c:pt idx="4">
                  <c:v>4.6102109717016004E-2</c:v>
                </c:pt>
                <c:pt idx="5">
                  <c:v>2.9458867298981062E-2</c:v>
                </c:pt>
                <c:pt idx="6">
                  <c:v>2.6018073451559598E-2</c:v>
                </c:pt>
                <c:pt idx="7">
                  <c:v>4.1515806138273437E-2</c:v>
                </c:pt>
                <c:pt idx="8">
                  <c:v>1.997599243202175E-2</c:v>
                </c:pt>
                <c:pt idx="9">
                  <c:v>1.2793654372253549E-2</c:v>
                </c:pt>
                <c:pt idx="10">
                  <c:v>2.7390055443688999E-2</c:v>
                </c:pt>
                <c:pt idx="11">
                  <c:v>1.7454946887384803E-2</c:v>
                </c:pt>
                <c:pt idx="12">
                  <c:v>2.0872998807228704E-2</c:v>
                </c:pt>
                <c:pt idx="13">
                  <c:v>1.4414302818719138E-2</c:v>
                </c:pt>
                <c:pt idx="14">
                  <c:v>2.1325355846651073E-2</c:v>
                </c:pt>
                <c:pt idx="15">
                  <c:v>-8.3296794276080943E-3</c:v>
                </c:pt>
                <c:pt idx="16">
                  <c:v>-5.3063777776379495E-2</c:v>
                </c:pt>
                <c:pt idx="17">
                  <c:v>1.4620694768097797E-2</c:v>
                </c:pt>
                <c:pt idx="18">
                  <c:v>6.634889119989662E-4</c:v>
                </c:pt>
                <c:pt idx="19">
                  <c:v>8.0766164296965925E-3</c:v>
                </c:pt>
                <c:pt idx="20">
                  <c:v>1.0397015469407522E-2</c:v>
                </c:pt>
                <c:pt idx="21">
                  <c:v>2.392299118819996E-2</c:v>
                </c:pt>
                <c:pt idx="22">
                  <c:v>1.4059889671456105E-2</c:v>
                </c:pt>
                <c:pt idx="23">
                  <c:v>1.3979908727900225E-2</c:v>
                </c:pt>
                <c:pt idx="24">
                  <c:v>2.4625494765584399E-2</c:v>
                </c:pt>
                <c:pt idx="25">
                  <c:v>1.0565116007130504E-2</c:v>
                </c:pt>
                <c:pt idx="26">
                  <c:v>7.3657613201751904E-3</c:v>
                </c:pt>
                <c:pt idx="27">
                  <c:v>-0.10200188793660436</c:v>
                </c:pt>
                <c:pt idx="28">
                  <c:v>8.1542078258153072E-2</c:v>
                </c:pt>
                <c:pt idx="29">
                  <c:v>4.1853701711176639E-2</c:v>
                </c:pt>
                <c:pt idx="30">
                  <c:v>-1.0283736805902222E-2</c:v>
                </c:pt>
                <c:pt idx="31">
                  <c:v>5.4183999489998413E-4</c:v>
                </c:pt>
              </c:numCache>
            </c:numRef>
          </c:val>
          <c:smooth val="1"/>
          <c:extLst>
            <c:ext xmlns:c16="http://schemas.microsoft.com/office/drawing/2014/chart" uri="{C3380CC4-5D6E-409C-BE32-E72D297353CC}">
              <c16:uniqueId val="{00000000-7A09-4E4D-B4E3-B209DEB176DF}"/>
            </c:ext>
          </c:extLst>
        </c:ser>
        <c:ser>
          <c:idx val="1"/>
          <c:order val="1"/>
          <c:tx>
            <c:strRef>
              <c:f>GRAFICOS!$V$3</c:f>
              <c:strCache>
                <c:ptCount val="1"/>
                <c:pt idx="0">
                  <c:v>Inflación UK</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GRAFICOS!$T$4:$T$35</c:f>
              <c:numCache>
                <c:formatCode>0</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GRAFICOS!$V$4:$V$35</c:f>
              <c:numCache>
                <c:formatCode>0.00%</c:formatCode>
                <c:ptCount val="32"/>
                <c:pt idx="0">
                  <c:v>2.55857796929705E-2</c:v>
                </c:pt>
                <c:pt idx="1">
                  <c:v>2.2190126050420499E-2</c:v>
                </c:pt>
                <c:pt idx="2">
                  <c:v>2.6974951830443201E-2</c:v>
                </c:pt>
                <c:pt idx="3">
                  <c:v>2.8517823639774901E-2</c:v>
                </c:pt>
                <c:pt idx="4">
                  <c:v>2.2011431351088202E-2</c:v>
                </c:pt>
                <c:pt idx="5">
                  <c:v>1.8205616373155698E-2</c:v>
                </c:pt>
                <c:pt idx="6">
                  <c:v>1.7529508005142001E-2</c:v>
                </c:pt>
                <c:pt idx="7">
                  <c:v>1.18295624210408E-2</c:v>
                </c:pt>
                <c:pt idx="8">
                  <c:v>1.5323496027241802E-2</c:v>
                </c:pt>
                <c:pt idx="9">
                  <c:v>1.5204024594745499E-2</c:v>
                </c:pt>
                <c:pt idx="10">
                  <c:v>1.3765003854201301E-2</c:v>
                </c:pt>
                <c:pt idx="11">
                  <c:v>1.39039756680422E-2</c:v>
                </c:pt>
                <c:pt idx="12">
                  <c:v>2.0891364902506999E-2</c:v>
                </c:pt>
                <c:pt idx="13">
                  <c:v>2.4556616643929101E-2</c:v>
                </c:pt>
                <c:pt idx="14">
                  <c:v>2.3865615077332699E-2</c:v>
                </c:pt>
                <c:pt idx="15">
                  <c:v>3.5214085634253899E-2</c:v>
                </c:pt>
                <c:pt idx="16">
                  <c:v>1.96173173560109E-2</c:v>
                </c:pt>
                <c:pt idx="17">
                  <c:v>2.49265472467066E-2</c:v>
                </c:pt>
                <c:pt idx="18">
                  <c:v>3.8561124468281999E-2</c:v>
                </c:pt>
                <c:pt idx="19">
                  <c:v>2.5732347965453001E-2</c:v>
                </c:pt>
                <c:pt idx="20">
                  <c:v>2.2916666666665902E-2</c:v>
                </c:pt>
                <c:pt idx="21">
                  <c:v>1.4511201629327898E-2</c:v>
                </c:pt>
                <c:pt idx="22">
                  <c:v>3.6804684232535998E-3</c:v>
                </c:pt>
                <c:pt idx="23">
                  <c:v>1.0084173681141E-2</c:v>
                </c:pt>
                <c:pt idx="24">
                  <c:v>2.5577557755774701E-2</c:v>
                </c:pt>
                <c:pt idx="25">
                  <c:v>2.2928399034593802E-2</c:v>
                </c:pt>
                <c:pt idx="26">
                  <c:v>1.7381046008651299E-2</c:v>
                </c:pt>
                <c:pt idx="27">
                  <c:v>9.8948670377249099E-3</c:v>
                </c:pt>
                <c:pt idx="28">
                  <c:v>2.5183710961421298E-2</c:v>
                </c:pt>
                <c:pt idx="29">
                  <c:v>7.9220488314790199E-2</c:v>
                </c:pt>
                <c:pt idx="30">
                  <c:v>6.7939670679396297E-2</c:v>
                </c:pt>
                <c:pt idx="31">
                  <c:v>3.2715729463591997E-2</c:v>
                </c:pt>
              </c:numCache>
            </c:numRef>
          </c:val>
          <c:smooth val="1"/>
          <c:extLst>
            <c:ext xmlns:c16="http://schemas.microsoft.com/office/drawing/2014/chart" uri="{C3380CC4-5D6E-409C-BE32-E72D297353CC}">
              <c16:uniqueId val="{00000001-7A09-4E4D-B4E3-B209DEB176DF}"/>
            </c:ext>
          </c:extLst>
        </c:ser>
        <c:dLbls>
          <c:showLegendKey val="0"/>
          <c:showVal val="0"/>
          <c:showCatName val="0"/>
          <c:showSerName val="0"/>
          <c:showPercent val="0"/>
          <c:showBubbleSize val="0"/>
        </c:dLbls>
        <c:hiLowLines>
          <c:spPr>
            <a:ln w="0">
              <a:noFill/>
            </a:ln>
          </c:spPr>
        </c:hiLowLines>
        <c:smooth val="0"/>
        <c:axId val="6641460"/>
        <c:axId val="44743839"/>
      </c:lineChart>
      <c:catAx>
        <c:axId val="6641460"/>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Año</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44743839"/>
        <c:crosses val="autoZero"/>
        <c:auto val="1"/>
        <c:lblAlgn val="ctr"/>
        <c:lblOffset val="100"/>
        <c:noMultiLvlLbl val="0"/>
      </c:catAx>
      <c:valAx>
        <c:axId val="4474383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664146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E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22</xdr:col>
      <xdr:colOff>484533</xdr:colOff>
      <xdr:row>1</xdr:row>
      <xdr:rowOff>173973</xdr:rowOff>
    </xdr:from>
    <xdr:to>
      <xdr:col>35</xdr:col>
      <xdr:colOff>457955</xdr:colOff>
      <xdr:row>21</xdr:row>
      <xdr:rowOff>172310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23</xdr:row>
      <xdr:rowOff>164880</xdr:rowOff>
    </xdr:from>
    <xdr:to>
      <xdr:col>12</xdr:col>
      <xdr:colOff>581400</xdr:colOff>
      <xdr:row>44</xdr:row>
      <xdr:rowOff>124200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46</xdr:row>
      <xdr:rowOff>165240</xdr:rowOff>
    </xdr:from>
    <xdr:to>
      <xdr:col>12</xdr:col>
      <xdr:colOff>581400</xdr:colOff>
      <xdr:row>67</xdr:row>
      <xdr:rowOff>124200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69</xdr:row>
      <xdr:rowOff>165240</xdr:rowOff>
    </xdr:from>
    <xdr:to>
      <xdr:col>12</xdr:col>
      <xdr:colOff>581400</xdr:colOff>
      <xdr:row>90</xdr:row>
      <xdr:rowOff>124200</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92</xdr:row>
      <xdr:rowOff>165240</xdr:rowOff>
    </xdr:from>
    <xdr:to>
      <xdr:col>12</xdr:col>
      <xdr:colOff>581400</xdr:colOff>
      <xdr:row>113</xdr:row>
      <xdr:rowOff>124200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115</xdr:row>
      <xdr:rowOff>165240</xdr:rowOff>
    </xdr:from>
    <xdr:to>
      <xdr:col>12</xdr:col>
      <xdr:colOff>581400</xdr:colOff>
      <xdr:row>136</xdr:row>
      <xdr:rowOff>124560</xdr:rowOff>
    </xdr:to>
    <xdr:graphicFrame macro="">
      <xdr:nvGraphicFramePr>
        <xdr:cNvPr id="7" name="Chart 6">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3"/>
  <sheetViews>
    <sheetView zoomScaleNormal="100" workbookViewId="0"/>
  </sheetViews>
  <sheetFormatPr baseColWidth="10" defaultColWidth="8.6328125" defaultRowHeight="14.5" x14ac:dyDescent="0.35"/>
  <cols>
    <col min="1" max="1" width="4" customWidth="1"/>
    <col min="2" max="2" width="110" customWidth="1"/>
  </cols>
  <sheetData>
    <row r="2" spans="2:2" ht="23.5" x14ac:dyDescent="0.55000000000000004">
      <c r="B2" s="5" t="s">
        <v>0</v>
      </c>
    </row>
    <row r="3" spans="2:2" ht="15.5" x14ac:dyDescent="0.35">
      <c r="B3" s="6" t="s">
        <v>1</v>
      </c>
    </row>
    <row r="5" spans="2:2" x14ac:dyDescent="0.35">
      <c r="B5" s="7" t="s">
        <v>2</v>
      </c>
    </row>
    <row r="6" spans="2:2" ht="7.5" customHeight="1" x14ac:dyDescent="0.35">
      <c r="B6" s="8"/>
    </row>
    <row r="7" spans="2:2" ht="21.75" customHeight="1" x14ac:dyDescent="0.35">
      <c r="B7" s="8" t="s">
        <v>3</v>
      </c>
    </row>
    <row r="8" spans="2:2" ht="7.5" customHeight="1" x14ac:dyDescent="0.35">
      <c r="B8" s="8"/>
    </row>
    <row r="9" spans="2:2" ht="21.75" customHeight="1" x14ac:dyDescent="0.35">
      <c r="B9" s="8" t="s">
        <v>4</v>
      </c>
    </row>
    <row r="10" spans="2:2" ht="7.5" customHeight="1" x14ac:dyDescent="0.35">
      <c r="B10" s="8"/>
    </row>
    <row r="11" spans="2:2" ht="21.75" customHeight="1" x14ac:dyDescent="0.35">
      <c r="B11" s="8" t="s">
        <v>5</v>
      </c>
    </row>
    <row r="12" spans="2:2" ht="7.5" customHeight="1" x14ac:dyDescent="0.35">
      <c r="B12" s="8"/>
    </row>
    <row r="13" spans="2:2" ht="21.75" customHeight="1" x14ac:dyDescent="0.35">
      <c r="B13" s="8" t="s">
        <v>6</v>
      </c>
    </row>
    <row r="14" spans="2:2" ht="7.5" customHeight="1" x14ac:dyDescent="0.35">
      <c r="B14" s="8"/>
    </row>
    <row r="15" spans="2:2" ht="21.75" customHeight="1" x14ac:dyDescent="0.35">
      <c r="B15" s="8" t="s">
        <v>7</v>
      </c>
    </row>
    <row r="16" spans="2:2" ht="7.5" customHeight="1" x14ac:dyDescent="0.35">
      <c r="B16" s="8"/>
    </row>
    <row r="17" spans="2:2" ht="21.75" customHeight="1" x14ac:dyDescent="0.35">
      <c r="B17" s="8" t="s">
        <v>8</v>
      </c>
    </row>
    <row r="18" spans="2:2" ht="7.5" customHeight="1" x14ac:dyDescent="0.35">
      <c r="B18" s="8"/>
    </row>
    <row r="19" spans="2:2" ht="21.75" customHeight="1" x14ac:dyDescent="0.35">
      <c r="B19" s="9" t="s">
        <v>9</v>
      </c>
    </row>
    <row r="20" spans="2:2" ht="21.75" customHeight="1" x14ac:dyDescent="0.35">
      <c r="B20" s="8" t="s">
        <v>10</v>
      </c>
    </row>
    <row r="21" spans="2:2" ht="21.75" customHeight="1" x14ac:dyDescent="0.35">
      <c r="B21" s="8" t="s">
        <v>11</v>
      </c>
    </row>
    <row r="22" spans="2:2" ht="21.75" customHeight="1" x14ac:dyDescent="0.35">
      <c r="B22" s="8" t="s">
        <v>12</v>
      </c>
    </row>
    <row r="23" spans="2:2" ht="21.75" customHeight="1" x14ac:dyDescent="0.35">
      <c r="B23" s="8" t="s">
        <v>13</v>
      </c>
    </row>
    <row r="24" spans="2:2" ht="21.75" customHeight="1" x14ac:dyDescent="0.35">
      <c r="B24" s="8" t="s">
        <v>14</v>
      </c>
    </row>
    <row r="25" spans="2:2" ht="21.75" customHeight="1" x14ac:dyDescent="0.35">
      <c r="B25" s="8" t="s">
        <v>15</v>
      </c>
    </row>
    <row r="26" spans="2:2" ht="21.75" customHeight="1" x14ac:dyDescent="0.35">
      <c r="B26" s="8" t="s">
        <v>16</v>
      </c>
    </row>
    <row r="27" spans="2:2" ht="21.75" customHeight="1" x14ac:dyDescent="0.35">
      <c r="B27" s="8" t="s">
        <v>17</v>
      </c>
    </row>
    <row r="28" spans="2:2" ht="21.75" customHeight="1" x14ac:dyDescent="0.35">
      <c r="B28" s="8" t="s">
        <v>18</v>
      </c>
    </row>
    <row r="29" spans="2:2" ht="7.5" customHeight="1" x14ac:dyDescent="0.35">
      <c r="B29" s="8"/>
    </row>
    <row r="30" spans="2:2" ht="21.75" customHeight="1" x14ac:dyDescent="0.35">
      <c r="B30" s="9" t="s">
        <v>19</v>
      </c>
    </row>
    <row r="31" spans="2:2" ht="21.75" customHeight="1" x14ac:dyDescent="0.35">
      <c r="B31" s="8" t="s">
        <v>20</v>
      </c>
    </row>
    <row r="32" spans="2:2" ht="21.75" customHeight="1" x14ac:dyDescent="0.35">
      <c r="B32" s="8" t="s">
        <v>21</v>
      </c>
    </row>
    <row r="33" spans="2:2" ht="21.75" customHeight="1" x14ac:dyDescent="0.35">
      <c r="B33" s="8" t="s">
        <v>22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5"/>
  <sheetViews>
    <sheetView zoomScaleNormal="100" workbookViewId="0">
      <pane xSplit="2" ySplit="3" topLeftCell="C4" activePane="bottomRight" state="frozen"/>
      <selection pane="topRight" activeCell="C1" sqref="C1"/>
      <selection pane="bottomLeft" activeCell="A4" sqref="A4"/>
      <selection pane="bottomRight"/>
    </sheetView>
  </sheetViews>
  <sheetFormatPr baseColWidth="10" defaultColWidth="8.6328125" defaultRowHeight="14.5" x14ac:dyDescent="0.35"/>
  <cols>
    <col min="1" max="1" width="9" customWidth="1"/>
    <col min="2" max="2" width="18" customWidth="1"/>
    <col min="3" max="34" width="11" customWidth="1"/>
  </cols>
  <sheetData>
    <row r="1" spans="1:34" ht="18.649999999999999" customHeight="1" x14ac:dyDescent="0.35">
      <c r="A1" s="4" t="s">
        <v>23</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row>
    <row r="3" spans="1:34" x14ac:dyDescent="0.35">
      <c r="A3" s="10" t="s">
        <v>24</v>
      </c>
      <c r="B3" s="10" t="s">
        <v>25</v>
      </c>
      <c r="C3" s="10">
        <v>1993</v>
      </c>
      <c r="D3" s="10">
        <v>1994</v>
      </c>
      <c r="E3" s="10">
        <v>1995</v>
      </c>
      <c r="F3" s="10">
        <v>1996</v>
      </c>
      <c r="G3" s="10">
        <v>1997</v>
      </c>
      <c r="H3" s="10">
        <v>1998</v>
      </c>
      <c r="I3" s="10">
        <v>1999</v>
      </c>
      <c r="J3" s="10">
        <v>2000</v>
      </c>
      <c r="K3" s="10">
        <v>2001</v>
      </c>
      <c r="L3" s="10">
        <v>2002</v>
      </c>
      <c r="M3" s="10">
        <v>2003</v>
      </c>
      <c r="N3" s="10">
        <v>2004</v>
      </c>
      <c r="O3" s="10">
        <v>2005</v>
      </c>
      <c r="P3" s="10">
        <v>2006</v>
      </c>
      <c r="Q3" s="10">
        <v>2007</v>
      </c>
      <c r="R3" s="10">
        <v>2008</v>
      </c>
      <c r="S3" s="10">
        <v>2009</v>
      </c>
      <c r="T3" s="10">
        <v>2010</v>
      </c>
      <c r="U3" s="10">
        <v>2011</v>
      </c>
      <c r="V3" s="10">
        <v>2012</v>
      </c>
      <c r="W3" s="10">
        <v>2013</v>
      </c>
      <c r="X3" s="10">
        <v>2014</v>
      </c>
      <c r="Y3" s="10">
        <v>2015</v>
      </c>
      <c r="Z3" s="10">
        <v>2016</v>
      </c>
      <c r="AA3" s="10">
        <v>2017</v>
      </c>
      <c r="AB3" s="10">
        <v>2018</v>
      </c>
      <c r="AC3" s="10">
        <v>2019</v>
      </c>
      <c r="AD3" s="10">
        <v>2020</v>
      </c>
      <c r="AE3" s="10">
        <v>2021</v>
      </c>
      <c r="AF3" s="10">
        <v>2022</v>
      </c>
      <c r="AG3" s="10">
        <v>2023</v>
      </c>
      <c r="AH3" s="10">
        <v>2024</v>
      </c>
    </row>
    <row r="4" spans="1:34" x14ac:dyDescent="0.35">
      <c r="A4" s="11" t="s">
        <v>26</v>
      </c>
      <c r="B4" s="11" t="s">
        <v>27</v>
      </c>
      <c r="C4" s="12">
        <v>30932.0193060317</v>
      </c>
      <c r="D4" s="12">
        <v>31625.393967955399</v>
      </c>
      <c r="E4" s="12">
        <v>32007.145402933998</v>
      </c>
      <c r="F4" s="12">
        <v>32245.860837955701</v>
      </c>
      <c r="G4" s="12">
        <v>32795.783345516502</v>
      </c>
      <c r="H4" s="12">
        <v>33477.985645876397</v>
      </c>
      <c r="I4" s="12">
        <v>34168.830821008298</v>
      </c>
      <c r="J4" s="12">
        <v>35104.130846784399</v>
      </c>
      <c r="K4" s="12">
        <v>35618.514369849298</v>
      </c>
      <c r="L4" s="12">
        <v>35477.515154430097</v>
      </c>
      <c r="M4" s="12">
        <v>35270.022728426702</v>
      </c>
      <c r="N4" s="12">
        <v>35687.637870854203</v>
      </c>
      <c r="O4" s="12">
        <v>36024.094704702104</v>
      </c>
      <c r="P4" s="12">
        <v>37459.261328041997</v>
      </c>
      <c r="Q4" s="12">
        <v>38593.074991050802</v>
      </c>
      <c r="R4" s="12">
        <v>39009.847763635698</v>
      </c>
      <c r="S4" s="12">
        <v>36940.407867266098</v>
      </c>
      <c r="T4" s="12">
        <v>38526.737104269501</v>
      </c>
      <c r="U4" s="12">
        <v>40722.484926824203</v>
      </c>
      <c r="V4" s="12">
        <v>40834.5088218456</v>
      </c>
      <c r="W4" s="12">
        <v>40884.892675902804</v>
      </c>
      <c r="X4" s="12">
        <v>41602.466128166801</v>
      </c>
      <c r="Y4" s="12">
        <v>41929.754911072203</v>
      </c>
      <c r="Z4" s="12">
        <v>42516.933706310301</v>
      </c>
      <c r="AA4" s="12">
        <v>43543.480705055103</v>
      </c>
      <c r="AB4" s="12">
        <v>43905.8550061973</v>
      </c>
      <c r="AC4" s="12">
        <v>44235.265895468197</v>
      </c>
      <c r="AD4" s="12">
        <v>42372.872678425498</v>
      </c>
      <c r="AE4" s="12">
        <v>44011.019463167402</v>
      </c>
      <c r="AF4" s="12">
        <v>44817.131633138903</v>
      </c>
      <c r="AG4" s="12">
        <v>44368.992007488101</v>
      </c>
      <c r="AH4" s="12">
        <v>44027.763155446897</v>
      </c>
    </row>
    <row r="5" spans="1:34" x14ac:dyDescent="0.35">
      <c r="A5" s="11" t="s">
        <v>28</v>
      </c>
      <c r="B5" s="11" t="s">
        <v>29</v>
      </c>
      <c r="C5" s="12">
        <v>32134.829913593701</v>
      </c>
      <c r="D5" s="12">
        <v>32780.341942337</v>
      </c>
      <c r="E5" s="12">
        <v>33603.427826355801</v>
      </c>
      <c r="F5" s="12">
        <v>34301.656215138202</v>
      </c>
      <c r="G5" s="12">
        <v>34998.032117393399</v>
      </c>
      <c r="H5" s="12">
        <v>36180.749057126501</v>
      </c>
      <c r="I5" s="12">
        <v>37468.869886979403</v>
      </c>
      <c r="J5" s="12">
        <v>38571.0858780001</v>
      </c>
      <c r="K5" s="12">
        <v>38929.753800544997</v>
      </c>
      <c r="L5" s="12">
        <v>39313.722510754502</v>
      </c>
      <c r="M5" s="12">
        <v>39569.288556732899</v>
      </c>
      <c r="N5" s="12">
        <v>40333.330718389399</v>
      </c>
      <c r="O5" s="12">
        <v>40989.013177897599</v>
      </c>
      <c r="P5" s="12">
        <v>42120.155700202202</v>
      </c>
      <c r="Q5" s="12">
        <v>43568.8302243941</v>
      </c>
      <c r="R5" s="12">
        <v>44063.864201991601</v>
      </c>
      <c r="S5" s="12">
        <v>42372.4758254763</v>
      </c>
      <c r="T5" s="12">
        <v>43035.407353193303</v>
      </c>
      <c r="U5" s="12">
        <v>44146.195680529403</v>
      </c>
      <c r="V5" s="12">
        <v>44221.459953089303</v>
      </c>
      <c r="W5" s="12">
        <v>43851.367549740396</v>
      </c>
      <c r="X5" s="12">
        <v>43838.8345892137</v>
      </c>
      <c r="Y5" s="12">
        <v>43915.228020857001</v>
      </c>
      <c r="Z5" s="12">
        <v>44362.6702805116</v>
      </c>
      <c r="AA5" s="12">
        <v>45056.638591241201</v>
      </c>
      <c r="AB5" s="12">
        <v>45951.581916403396</v>
      </c>
      <c r="AC5" s="12">
        <v>46550.562245949201</v>
      </c>
      <c r="AD5" s="12">
        <v>43428.698313723398</v>
      </c>
      <c r="AE5" s="12">
        <v>45368.643433736797</v>
      </c>
      <c r="AF5" s="12">
        <v>47332.424035797099</v>
      </c>
      <c r="AG5" s="12">
        <v>46497.911464034099</v>
      </c>
      <c r="AH5" s="12">
        <v>45958.825007126099</v>
      </c>
    </row>
    <row r="6" spans="1:34" x14ac:dyDescent="0.35">
      <c r="A6" s="11" t="s">
        <v>30</v>
      </c>
      <c r="B6" s="11" t="s">
        <v>31</v>
      </c>
      <c r="C6" s="12">
        <v>29967.394424160098</v>
      </c>
      <c r="D6" s="12">
        <v>30839.241433646501</v>
      </c>
      <c r="E6" s="12">
        <v>31508.622663522001</v>
      </c>
      <c r="F6" s="12">
        <v>31862.669386813199</v>
      </c>
      <c r="G6" s="12">
        <v>32991.5010116146</v>
      </c>
      <c r="H6" s="12">
        <v>33566.987591950703</v>
      </c>
      <c r="I6" s="12">
        <v>34676.605155526297</v>
      </c>
      <c r="J6" s="12">
        <v>35878.315358619497</v>
      </c>
      <c r="K6" s="12">
        <v>36148.288092430601</v>
      </c>
      <c r="L6" s="12">
        <v>36600.862592332</v>
      </c>
      <c r="M6" s="12">
        <v>36826.2699296094</v>
      </c>
      <c r="N6" s="12">
        <v>37976.697296744198</v>
      </c>
      <c r="O6" s="12">
        <v>38645.260519336203</v>
      </c>
      <c r="P6" s="12">
        <v>39371.085827744799</v>
      </c>
      <c r="Q6" s="12">
        <v>40520.084320700902</v>
      </c>
      <c r="R6" s="12">
        <v>40380.907500404202</v>
      </c>
      <c r="S6" s="12">
        <v>39293.637546824997</v>
      </c>
      <c r="T6" s="12">
        <v>39991.564620628596</v>
      </c>
      <c r="U6" s="12">
        <v>40236.959630855803</v>
      </c>
      <c r="V6" s="12">
        <v>40074.492800398999</v>
      </c>
      <c r="W6" s="12">
        <v>40007.899789141098</v>
      </c>
      <c r="X6" s="12">
        <v>40533.913502789801</v>
      </c>
      <c r="Y6" s="12">
        <v>40893.804537771997</v>
      </c>
      <c r="Z6" s="12">
        <v>41172.886283120897</v>
      </c>
      <c r="AA6" s="12">
        <v>41619.328629169002</v>
      </c>
      <c r="AB6" s="12">
        <v>42208.362565027201</v>
      </c>
      <c r="AC6" s="12">
        <v>43006.404230886299</v>
      </c>
      <c r="AD6" s="12">
        <v>40769.021807296202</v>
      </c>
      <c r="AE6" s="12">
        <v>43140.967665297103</v>
      </c>
      <c r="AF6" s="12">
        <v>44486.743856359397</v>
      </c>
      <c r="AG6" s="12">
        <v>44866.193517730397</v>
      </c>
      <c r="AH6" s="12">
        <v>45045.660102139896</v>
      </c>
    </row>
    <row r="7" spans="1:34" x14ac:dyDescent="0.35">
      <c r="A7" s="11" t="s">
        <v>32</v>
      </c>
      <c r="B7" s="11" t="s">
        <v>33</v>
      </c>
      <c r="C7" s="12">
        <v>17623.28515625</v>
      </c>
      <c r="D7" s="12">
        <v>18281.021484375</v>
      </c>
      <c r="E7" s="12">
        <v>19453.845703125</v>
      </c>
      <c r="F7" s="12">
        <v>19385.287109375</v>
      </c>
      <c r="G7" s="12">
        <v>19617.185546875</v>
      </c>
      <c r="H7" s="12">
        <v>20562.296875</v>
      </c>
      <c r="I7" s="12">
        <v>21349.75</v>
      </c>
      <c r="J7" s="12">
        <v>22383.96484375</v>
      </c>
      <c r="K7" s="12">
        <v>23019.25</v>
      </c>
      <c r="L7" s="12">
        <v>23604.189453125</v>
      </c>
      <c r="M7" s="12">
        <v>23930.783203125</v>
      </c>
      <c r="N7" s="12">
        <v>24799.6484375</v>
      </c>
      <c r="O7" s="12">
        <v>25631.3671875</v>
      </c>
      <c r="P7" s="12">
        <v>26395.50390625</v>
      </c>
      <c r="Q7" s="12">
        <v>27156.818359375</v>
      </c>
      <c r="R7" s="12">
        <v>27449.2265625</v>
      </c>
      <c r="S7" s="12">
        <v>26183.685546875</v>
      </c>
      <c r="T7" s="12">
        <v>26090.048828125</v>
      </c>
      <c r="U7" s="12">
        <v>25538.78125</v>
      </c>
      <c r="V7" s="12">
        <v>24285.49609375</v>
      </c>
      <c r="W7" s="12">
        <v>22711.71875</v>
      </c>
      <c r="X7" s="12">
        <v>22373.578125</v>
      </c>
      <c r="Y7" s="12">
        <v>23088.44140625</v>
      </c>
      <c r="Z7" s="12">
        <v>24477.986328125</v>
      </c>
      <c r="AA7" s="12">
        <v>25666.00390625</v>
      </c>
      <c r="AB7" s="12">
        <v>26962.40625</v>
      </c>
      <c r="AC7" s="12">
        <v>28167.16015625</v>
      </c>
      <c r="AD7" s="12">
        <v>26895.68359375</v>
      </c>
      <c r="AE7" s="12">
        <v>29517.072265625</v>
      </c>
      <c r="AF7" s="12">
        <v>31370.55078125</v>
      </c>
      <c r="AG7" s="12">
        <v>31884.84375</v>
      </c>
      <c r="AH7" s="12">
        <v>32617.216796875</v>
      </c>
    </row>
    <row r="8" spans="1:34" x14ac:dyDescent="0.35">
      <c r="A8" s="11" t="s">
        <v>34</v>
      </c>
      <c r="B8" s="11" t="s">
        <v>35</v>
      </c>
      <c r="C8" s="12">
        <v>6490.8345795673004</v>
      </c>
      <c r="D8" s="12">
        <v>6795.7124937957196</v>
      </c>
      <c r="E8" s="12">
        <v>7304.7092846475798</v>
      </c>
      <c r="F8" s="12">
        <v>7857.9923643477196</v>
      </c>
      <c r="G8" s="12">
        <v>8383.4705429344303</v>
      </c>
      <c r="H8" s="12">
        <v>8577.5069442877393</v>
      </c>
      <c r="I8" s="12">
        <v>8541.5326036579299</v>
      </c>
      <c r="J8" s="12">
        <v>8880.2698068987593</v>
      </c>
      <c r="K8" s="12">
        <v>9515.7356979369797</v>
      </c>
      <c r="L8" s="12">
        <v>10062.0396800621</v>
      </c>
      <c r="M8" s="12">
        <v>10619.3078243865</v>
      </c>
      <c r="N8" s="12">
        <v>11059.0980614364</v>
      </c>
      <c r="O8" s="12">
        <v>11522.7905248265</v>
      </c>
      <c r="P8" s="12">
        <v>12104.0421469867</v>
      </c>
      <c r="Q8" s="12">
        <v>12717.9875997872</v>
      </c>
      <c r="R8" s="12">
        <v>12970.4376964616</v>
      </c>
      <c r="S8" s="12">
        <v>12099.552178165601</v>
      </c>
      <c r="T8" s="12">
        <v>11965.0049285028</v>
      </c>
      <c r="U8" s="12">
        <v>11993.071317916199</v>
      </c>
      <c r="V8" s="12">
        <v>11780.474276728401</v>
      </c>
      <c r="W8" s="12">
        <v>11838.215245035701</v>
      </c>
      <c r="X8" s="12">
        <v>11862.7609491821</v>
      </c>
      <c r="Y8" s="12">
        <v>12283.784062005299</v>
      </c>
      <c r="Z8" s="12">
        <v>12848.419539107001</v>
      </c>
      <c r="AA8" s="12">
        <v>13485.3012514274</v>
      </c>
      <c r="AB8" s="12">
        <v>14060.9874833125</v>
      </c>
      <c r="AC8" s="12">
        <v>14641.663970693</v>
      </c>
      <c r="AD8" s="12">
        <v>13545.4881162417</v>
      </c>
      <c r="AE8" s="12">
        <v>15395.128778275801</v>
      </c>
      <c r="AF8" s="12">
        <v>16618.111187472401</v>
      </c>
      <c r="AG8" s="12">
        <v>17225.154484029001</v>
      </c>
      <c r="AH8" s="12">
        <v>17854.209101268501</v>
      </c>
    </row>
    <row r="9" spans="1:34" x14ac:dyDescent="0.35">
      <c r="A9" s="11" t="s">
        <v>36</v>
      </c>
      <c r="B9" s="11" t="s">
        <v>37</v>
      </c>
      <c r="C9" s="12">
        <v>6946.8456411797597</v>
      </c>
      <c r="D9" s="12">
        <v>7348.9183974320104</v>
      </c>
      <c r="E9" s="12">
        <v>7755.6233338553002</v>
      </c>
      <c r="F9" s="12">
        <v>8212.8319394275604</v>
      </c>
      <c r="G9" s="12">
        <v>8647.3943431151692</v>
      </c>
      <c r="H9" s="12">
        <v>8966.2192623125193</v>
      </c>
      <c r="I9" s="12">
        <v>8914.6832646725506</v>
      </c>
      <c r="J9" s="12">
        <v>8997.2119959431893</v>
      </c>
      <c r="K9" s="12">
        <v>9277.35808851002</v>
      </c>
      <c r="L9" s="12">
        <v>9690.6846826288893</v>
      </c>
      <c r="M9" s="12">
        <v>10168.02256533</v>
      </c>
      <c r="N9" s="12">
        <v>10718.2101858841</v>
      </c>
      <c r="O9" s="12">
        <v>11412.159363000799</v>
      </c>
      <c r="P9" s="12">
        <v>12430.201548855701</v>
      </c>
      <c r="Q9" s="12">
        <v>13770.9602691528</v>
      </c>
      <c r="R9" s="12">
        <v>14497.111440717201</v>
      </c>
      <c r="S9" s="12">
        <v>13680.753710659699</v>
      </c>
      <c r="T9" s="12">
        <v>14596.1477776887</v>
      </c>
      <c r="U9" s="12">
        <v>14950.8735178599</v>
      </c>
      <c r="V9" s="12">
        <v>15159.657042000499</v>
      </c>
      <c r="W9" s="12">
        <v>15249.8824513785</v>
      </c>
      <c r="X9" s="12">
        <v>15647.649176351701</v>
      </c>
      <c r="Y9" s="12">
        <v>16442.076086001802</v>
      </c>
      <c r="Z9" s="12">
        <v>16740.7413996428</v>
      </c>
      <c r="AA9" s="12">
        <v>17195.288872196299</v>
      </c>
      <c r="AB9" s="12">
        <v>17869.014917367898</v>
      </c>
      <c r="AC9" s="12">
        <v>18250.980247563701</v>
      </c>
      <c r="AD9" s="12">
        <v>17763.856384735202</v>
      </c>
      <c r="AE9" s="12">
        <v>18808.454049659598</v>
      </c>
      <c r="AF9" s="12">
        <v>18964.829840062401</v>
      </c>
      <c r="AG9" s="12">
        <v>19383.373200940099</v>
      </c>
      <c r="AH9" s="12">
        <v>19776.175806949799</v>
      </c>
    </row>
    <row r="10" spans="1:34" x14ac:dyDescent="0.35">
      <c r="A10" s="11" t="s">
        <v>38</v>
      </c>
      <c r="B10" s="11" t="s">
        <v>39</v>
      </c>
      <c r="C10" s="12">
        <v>12098.341479450601</v>
      </c>
      <c r="D10" s="12">
        <v>12757.6301865941</v>
      </c>
      <c r="E10" s="12">
        <v>13278.742855964299</v>
      </c>
      <c r="F10" s="12">
        <v>13674.183297426</v>
      </c>
      <c r="G10" s="12">
        <v>14400.670888340999</v>
      </c>
      <c r="H10" s="12">
        <v>14874.290478254599</v>
      </c>
      <c r="I10" s="12">
        <v>15646.6885879812</v>
      </c>
      <c r="J10" s="12">
        <v>16146.1216848394</v>
      </c>
      <c r="K10" s="12">
        <v>16576.715884040601</v>
      </c>
      <c r="L10" s="12">
        <v>17099.658209132002</v>
      </c>
      <c r="M10" s="12">
        <v>17635.360858183099</v>
      </c>
      <c r="N10" s="12">
        <v>18425.2601213581</v>
      </c>
      <c r="O10" s="12">
        <v>19102.2776603905</v>
      </c>
      <c r="P10" s="12">
        <v>20166.532343121398</v>
      </c>
      <c r="Q10" s="12">
        <v>21485.7809923811</v>
      </c>
      <c r="R10" s="12">
        <v>22175.2369557321</v>
      </c>
      <c r="S10" s="12">
        <v>20307.618832227301</v>
      </c>
      <c r="T10" s="12">
        <v>20444.120129587602</v>
      </c>
      <c r="U10" s="12">
        <v>20535.4155754108</v>
      </c>
      <c r="V10" s="12">
        <v>19894.869796454801</v>
      </c>
      <c r="W10" s="12">
        <v>19704.218600512799</v>
      </c>
      <c r="X10" s="12">
        <v>20228.708198639099</v>
      </c>
      <c r="Y10" s="12">
        <v>20697.274853061899</v>
      </c>
      <c r="Z10" s="12">
        <v>21309.712213894902</v>
      </c>
      <c r="AA10" s="12">
        <v>22397.7634988338</v>
      </c>
      <c r="AB10" s="12">
        <v>23293.966665323002</v>
      </c>
      <c r="AC10" s="12">
        <v>23943.1800949889</v>
      </c>
      <c r="AD10" s="12">
        <v>22811.805054077799</v>
      </c>
      <c r="AE10" s="12">
        <v>24665.4410464026</v>
      </c>
      <c r="AF10" s="12">
        <v>25275.7159677571</v>
      </c>
      <c r="AG10" s="12">
        <v>25773.9015835069</v>
      </c>
      <c r="AH10" s="12">
        <v>26134.627203986998</v>
      </c>
    </row>
    <row r="11" spans="1:34" x14ac:dyDescent="0.35">
      <c r="A11" s="11" t="s">
        <v>40</v>
      </c>
      <c r="B11" s="11" t="s">
        <v>41</v>
      </c>
      <c r="C11" s="12">
        <v>19394.4931411816</v>
      </c>
      <c r="D11" s="12">
        <v>19762.3886289154</v>
      </c>
      <c r="E11" s="12">
        <v>20217.903194037299</v>
      </c>
      <c r="F11" s="12">
        <v>20658.8402775701</v>
      </c>
      <c r="G11" s="12">
        <v>21310.431188898601</v>
      </c>
      <c r="H11" s="12">
        <v>22135.404501880199</v>
      </c>
      <c r="I11" s="12">
        <v>23017.838771323</v>
      </c>
      <c r="J11" s="12">
        <v>24106.8818529374</v>
      </c>
      <c r="K11" s="12">
        <v>24878.378454399099</v>
      </c>
      <c r="L11" s="12">
        <v>25205.3154769045</v>
      </c>
      <c r="M11" s="12">
        <v>25481.1653690112</v>
      </c>
      <c r="N11" s="12">
        <v>25825.310646331502</v>
      </c>
      <c r="O11" s="12">
        <v>26294.447384390998</v>
      </c>
      <c r="P11" s="12">
        <v>26899.092149711301</v>
      </c>
      <c r="Q11" s="12">
        <v>27338.795417739999</v>
      </c>
      <c r="R11" s="12">
        <v>27112.526293889001</v>
      </c>
      <c r="S11" s="12">
        <v>25860.8142592652</v>
      </c>
      <c r="T11" s="12">
        <v>25766.251582574299</v>
      </c>
      <c r="U11" s="12">
        <v>25510.557967882902</v>
      </c>
      <c r="V11" s="12">
        <v>24763.568274484001</v>
      </c>
      <c r="W11" s="12">
        <v>24498.5559507945</v>
      </c>
      <c r="X11" s="12">
        <v>24947.851250591299</v>
      </c>
      <c r="Y11" s="12">
        <v>25982.441619777601</v>
      </c>
      <c r="Z11" s="12">
        <v>26719.244226861501</v>
      </c>
      <c r="AA11" s="12">
        <v>27426.281015093002</v>
      </c>
      <c r="AB11" s="12">
        <v>27956.722546648401</v>
      </c>
      <c r="AC11" s="12">
        <v>28301.439394956298</v>
      </c>
      <c r="AD11" s="12">
        <v>25077.019882928002</v>
      </c>
      <c r="AE11" s="12">
        <v>26705.3629138959</v>
      </c>
      <c r="AF11" s="12">
        <v>28203.109341947398</v>
      </c>
      <c r="AG11" s="12">
        <v>28558.631981750099</v>
      </c>
      <c r="AH11" s="12">
        <v>29245.219245173001</v>
      </c>
    </row>
    <row r="12" spans="1:34" x14ac:dyDescent="0.35">
      <c r="A12" s="11" t="s">
        <v>42</v>
      </c>
      <c r="B12" s="11" t="s">
        <v>43</v>
      </c>
      <c r="C12" s="12">
        <v>6706.5600012902396</v>
      </c>
      <c r="D12" s="12">
        <v>6738.9991441887396</v>
      </c>
      <c r="E12" s="12">
        <v>7170.9460772116799</v>
      </c>
      <c r="F12" s="12">
        <v>7637.2570828696298</v>
      </c>
      <c r="G12" s="12">
        <v>8732.9908565719397</v>
      </c>
      <c r="H12" s="12">
        <v>9199.9353412763194</v>
      </c>
      <c r="I12" s="12">
        <v>9133.8959338435507</v>
      </c>
      <c r="J12" s="12">
        <v>10006.7696280939</v>
      </c>
      <c r="K12" s="12">
        <v>10662.945502033101</v>
      </c>
      <c r="L12" s="12">
        <v>11474.662272192299</v>
      </c>
      <c r="M12" s="12">
        <v>12424.044153569301</v>
      </c>
      <c r="N12" s="12">
        <v>13348.528446332401</v>
      </c>
      <c r="O12" s="12">
        <v>14703.617970777301</v>
      </c>
      <c r="P12" s="12">
        <v>16234.5152041417</v>
      </c>
      <c r="Q12" s="12">
        <v>17543.4661785723</v>
      </c>
      <c r="R12" s="12">
        <v>16688.997772178001</v>
      </c>
      <c r="S12" s="12">
        <v>14274.8511086787</v>
      </c>
      <c r="T12" s="12">
        <v>14657.939813612</v>
      </c>
      <c r="U12" s="12">
        <v>15820.922342204</v>
      </c>
      <c r="V12" s="12">
        <v>16460.6843479001</v>
      </c>
      <c r="W12" s="12">
        <v>16809.532668378099</v>
      </c>
      <c r="X12" s="12">
        <v>17413.686756021201</v>
      </c>
      <c r="Y12" s="12">
        <v>17722.155766952299</v>
      </c>
      <c r="Z12" s="12">
        <v>18264.987330427899</v>
      </c>
      <c r="AA12" s="12">
        <v>19270.814121051098</v>
      </c>
      <c r="AB12" s="12">
        <v>19914.345492287801</v>
      </c>
      <c r="AC12" s="12">
        <v>20579.875673237599</v>
      </c>
      <c r="AD12" s="12">
        <v>19946.945696898001</v>
      </c>
      <c r="AE12" s="12">
        <v>21570.665845526801</v>
      </c>
      <c r="AF12" s="12">
        <v>21023.2994937246</v>
      </c>
      <c r="AG12" s="12">
        <v>20126.373048695699</v>
      </c>
      <c r="AH12" s="12">
        <v>20078.139762099301</v>
      </c>
    </row>
    <row r="13" spans="1:34" x14ac:dyDescent="0.35">
      <c r="A13" s="11" t="s">
        <v>44</v>
      </c>
      <c r="B13" s="11" t="s">
        <v>45</v>
      </c>
      <c r="C13" s="12">
        <v>27807.861466332699</v>
      </c>
      <c r="D13" s="12">
        <v>28785.9195720485</v>
      </c>
      <c r="E13" s="12">
        <v>29890.524328992498</v>
      </c>
      <c r="F13" s="12">
        <v>30883.834723784599</v>
      </c>
      <c r="G13" s="12">
        <v>32762.117910757501</v>
      </c>
      <c r="H13" s="12">
        <v>34457.455593974199</v>
      </c>
      <c r="I13" s="12">
        <v>35886.494908054803</v>
      </c>
      <c r="J13" s="12">
        <v>37872.602034350399</v>
      </c>
      <c r="K13" s="12">
        <v>38784.130811572599</v>
      </c>
      <c r="L13" s="12">
        <v>39343.069899762697</v>
      </c>
      <c r="M13" s="12">
        <v>40038.983970227702</v>
      </c>
      <c r="N13" s="12">
        <v>41521.962874475998</v>
      </c>
      <c r="O13" s="12">
        <v>42529.350692088403</v>
      </c>
      <c r="P13" s="12">
        <v>44069.395883471698</v>
      </c>
      <c r="Q13" s="12">
        <v>46213.689897573699</v>
      </c>
      <c r="R13" s="12">
        <v>46359.873284405498</v>
      </c>
      <c r="S13" s="12">
        <v>42412.513351353402</v>
      </c>
      <c r="T13" s="12">
        <v>43556.538583436799</v>
      </c>
      <c r="U13" s="12">
        <v>44391.453566798402</v>
      </c>
      <c r="V13" s="12">
        <v>43507.934537157897</v>
      </c>
      <c r="W13" s="12">
        <v>42883.638498641703</v>
      </c>
      <c r="X13" s="12">
        <v>42502.488019985802</v>
      </c>
      <c r="Y13" s="12">
        <v>42560.345676710298</v>
      </c>
      <c r="Z13" s="12">
        <v>43529.676161696902</v>
      </c>
      <c r="AA13" s="12">
        <v>44862.220404205</v>
      </c>
      <c r="AB13" s="12">
        <v>45337.240955057503</v>
      </c>
      <c r="AC13" s="12">
        <v>45898.570844895497</v>
      </c>
      <c r="AD13" s="12">
        <v>44690.980110307399</v>
      </c>
      <c r="AE13" s="12">
        <v>45792.045418087197</v>
      </c>
      <c r="AF13" s="12">
        <v>46016.149210392898</v>
      </c>
      <c r="AG13" s="12">
        <v>45357.0296547377</v>
      </c>
      <c r="AH13" s="12">
        <v>45254.035865891703</v>
      </c>
    </row>
    <row r="14" spans="1:34" x14ac:dyDescent="0.35">
      <c r="A14" s="11" t="s">
        <v>46</v>
      </c>
      <c r="B14" s="11" t="s">
        <v>47</v>
      </c>
      <c r="C14" s="12">
        <v>28257.096248781701</v>
      </c>
      <c r="D14" s="12">
        <v>28822.500649506899</v>
      </c>
      <c r="E14" s="12">
        <v>29379.615842405201</v>
      </c>
      <c r="F14" s="12">
        <v>29683.7786067651</v>
      </c>
      <c r="G14" s="12">
        <v>30325.522871824</v>
      </c>
      <c r="H14" s="12">
        <v>31256.507383065498</v>
      </c>
      <c r="I14" s="12">
        <v>32152.720747873402</v>
      </c>
      <c r="J14" s="12">
        <v>33255.137964233501</v>
      </c>
      <c r="K14" s="12">
        <v>33640.673800256503</v>
      </c>
      <c r="L14" s="12">
        <v>33753.578297975801</v>
      </c>
      <c r="M14" s="12">
        <v>33840.617572010102</v>
      </c>
      <c r="N14" s="12">
        <v>34557.147111158098</v>
      </c>
      <c r="O14" s="12">
        <v>34946.037249470297</v>
      </c>
      <c r="P14" s="12">
        <v>35645.416242711603</v>
      </c>
      <c r="Q14" s="12">
        <v>36322.168514100398</v>
      </c>
      <c r="R14" s="12">
        <v>36257.365893093804</v>
      </c>
      <c r="S14" s="12">
        <v>35052.8510772683</v>
      </c>
      <c r="T14" s="12">
        <v>35578.196801018297</v>
      </c>
      <c r="U14" s="12">
        <v>36269.956153088802</v>
      </c>
      <c r="V14" s="12">
        <v>36161.291825346503</v>
      </c>
      <c r="W14" s="12">
        <v>36256.086680981003</v>
      </c>
      <c r="X14" s="12">
        <v>36444.394908914597</v>
      </c>
      <c r="Y14" s="12">
        <v>36702.432373337899</v>
      </c>
      <c r="Z14" s="12">
        <v>36920.534284691399</v>
      </c>
      <c r="AA14" s="12">
        <v>37580.597932935598</v>
      </c>
      <c r="AB14" s="12">
        <v>38062.443596141202</v>
      </c>
      <c r="AC14" s="12">
        <v>38705.207294061802</v>
      </c>
      <c r="AD14" s="12">
        <v>35709.2045925926</v>
      </c>
      <c r="AE14" s="12">
        <v>38030.857168517803</v>
      </c>
      <c r="AF14" s="12">
        <v>38868.330333055703</v>
      </c>
      <c r="AG14" s="12">
        <v>39319.415222729498</v>
      </c>
      <c r="AH14" s="12">
        <v>39683.395348902901</v>
      </c>
    </row>
    <row r="15" spans="1:34" x14ac:dyDescent="0.35">
      <c r="A15" s="11" t="s">
        <v>48</v>
      </c>
      <c r="B15" s="11" t="s">
        <v>49</v>
      </c>
      <c r="C15" s="12">
        <v>15374.8626265369</v>
      </c>
      <c r="D15" s="12">
        <v>15604.033994424201</v>
      </c>
      <c r="E15" s="12">
        <v>15857.416193085601</v>
      </c>
      <c r="F15" s="12">
        <v>16005.951156971099</v>
      </c>
      <c r="G15" s="12">
        <v>16501.031649131801</v>
      </c>
      <c r="H15" s="12">
        <v>16973.829371407101</v>
      </c>
      <c r="I15" s="12">
        <v>17358.434697829402</v>
      </c>
      <c r="J15" s="12">
        <v>18002.906461398499</v>
      </c>
      <c r="K15" s="12">
        <v>18742.423578069101</v>
      </c>
      <c r="L15" s="12">
        <v>19548.3677447396</v>
      </c>
      <c r="M15" s="12">
        <v>20632.255704194198</v>
      </c>
      <c r="N15" s="12">
        <v>21688.105095955802</v>
      </c>
      <c r="O15" s="12">
        <v>21880.5265835801</v>
      </c>
      <c r="P15" s="12">
        <v>23220.532441919699</v>
      </c>
      <c r="Q15" s="12">
        <v>23973.6936091313</v>
      </c>
      <c r="R15" s="12">
        <v>23923.8800731312</v>
      </c>
      <c r="S15" s="12">
        <v>22878.134664439702</v>
      </c>
      <c r="T15" s="12">
        <v>21547.724178239001</v>
      </c>
      <c r="U15" s="12">
        <v>19448.255802525</v>
      </c>
      <c r="V15" s="12">
        <v>17924.662049688599</v>
      </c>
      <c r="W15" s="12">
        <v>17644.876663502098</v>
      </c>
      <c r="X15" s="12">
        <v>17903.525244001201</v>
      </c>
      <c r="Y15" s="12">
        <v>17980.729823813701</v>
      </c>
      <c r="Z15" s="12">
        <v>18049.928997891999</v>
      </c>
      <c r="AA15" s="12">
        <v>18352.088446125799</v>
      </c>
      <c r="AB15" s="12">
        <v>18769.038962197599</v>
      </c>
      <c r="AC15" s="12">
        <v>19216.675957978499</v>
      </c>
      <c r="AD15" s="12">
        <v>17486.951333322999</v>
      </c>
      <c r="AE15" s="12">
        <v>19232.9683327114</v>
      </c>
      <c r="AF15" s="12">
        <v>20552.322327968501</v>
      </c>
      <c r="AG15" s="12">
        <v>21050.864811158099</v>
      </c>
      <c r="AH15" s="12">
        <v>21494.685606059898</v>
      </c>
    </row>
    <row r="16" spans="1:34" x14ac:dyDescent="0.35">
      <c r="A16" s="11" t="s">
        <v>50</v>
      </c>
      <c r="B16" s="11" t="s">
        <v>51</v>
      </c>
      <c r="C16" s="12">
        <v>24932.377054272401</v>
      </c>
      <c r="D16" s="12">
        <v>26263.709175235301</v>
      </c>
      <c r="E16" s="12">
        <v>28646.817621989801</v>
      </c>
      <c r="F16" s="12">
        <v>30518.4039336362</v>
      </c>
      <c r="G16" s="12">
        <v>33543.994297565703</v>
      </c>
      <c r="H16" s="12">
        <v>36105.918483745598</v>
      </c>
      <c r="I16" s="12">
        <v>39460.475865500899</v>
      </c>
      <c r="J16" s="12">
        <v>42599.480392131903</v>
      </c>
      <c r="K16" s="12">
        <v>44151.1536032558</v>
      </c>
      <c r="L16" s="12">
        <v>45974.488198884203</v>
      </c>
      <c r="M16" s="12">
        <v>46594.862026761599</v>
      </c>
      <c r="N16" s="12">
        <v>48856.323858739597</v>
      </c>
      <c r="O16" s="12">
        <v>50547.212372976297</v>
      </c>
      <c r="P16" s="12">
        <v>51656.819485588698</v>
      </c>
      <c r="Q16" s="12">
        <v>52849.694842945799</v>
      </c>
      <c r="R16" s="12">
        <v>49461.159428135303</v>
      </c>
      <c r="S16" s="12">
        <v>46466.3794269223</v>
      </c>
      <c r="T16" s="12">
        <v>46991.646467394901</v>
      </c>
      <c r="U16" s="12">
        <v>47539.918173996797</v>
      </c>
      <c r="V16" s="12">
        <v>47147.160466942099</v>
      </c>
      <c r="W16" s="12">
        <v>47928.034648700501</v>
      </c>
      <c r="X16" s="12">
        <v>52044.620118188701</v>
      </c>
      <c r="Y16" s="12">
        <v>64250.138518125699</v>
      </c>
      <c r="Z16" s="12">
        <v>64205.979777351</v>
      </c>
      <c r="AA16" s="12">
        <v>69748.622103401402</v>
      </c>
      <c r="AB16" s="12">
        <v>74029.055061143605</v>
      </c>
      <c r="AC16" s="12">
        <v>76485.635854651104</v>
      </c>
      <c r="AD16" s="12">
        <v>80927.936475395007</v>
      </c>
      <c r="AE16" s="12">
        <v>92781.232215078606</v>
      </c>
      <c r="AF16" s="12">
        <v>97793.536667169697</v>
      </c>
      <c r="AG16" s="12">
        <v>93541.964367838096</v>
      </c>
      <c r="AH16" s="12">
        <v>94474.987970706905</v>
      </c>
    </row>
    <row r="17" spans="1:34" x14ac:dyDescent="0.35">
      <c r="A17" s="11" t="s">
        <v>52</v>
      </c>
      <c r="B17" s="11" t="s">
        <v>53</v>
      </c>
      <c r="C17" s="12">
        <v>27987.432896928101</v>
      </c>
      <c r="D17" s="12">
        <v>28583.6255328648</v>
      </c>
      <c r="E17" s="12">
        <v>29408.320957229698</v>
      </c>
      <c r="F17" s="12">
        <v>29795.659775091499</v>
      </c>
      <c r="G17" s="12">
        <v>30353.3778243995</v>
      </c>
      <c r="H17" s="12">
        <v>30892.175865445501</v>
      </c>
      <c r="I17" s="12">
        <v>31405.260900768299</v>
      </c>
      <c r="J17" s="12">
        <v>32609.667462829999</v>
      </c>
      <c r="K17" s="12">
        <v>33243.5993439761</v>
      </c>
      <c r="L17" s="12">
        <v>33267.447448204803</v>
      </c>
      <c r="M17" s="12">
        <v>33110.169849481201</v>
      </c>
      <c r="N17" s="12">
        <v>33348.974482045604</v>
      </c>
      <c r="O17" s="12">
        <v>33407.675471647199</v>
      </c>
      <c r="P17" s="12">
        <v>33873.049368009299</v>
      </c>
      <c r="Q17" s="12">
        <v>34159.910924407399</v>
      </c>
      <c r="R17" s="12">
        <v>33550.634080006297</v>
      </c>
      <c r="S17" s="12">
        <v>31587.063841630501</v>
      </c>
      <c r="T17" s="12">
        <v>31928.5543621096</v>
      </c>
      <c r="U17" s="12">
        <v>32039.5032494316</v>
      </c>
      <c r="V17" s="12">
        <v>30953.414744742699</v>
      </c>
      <c r="W17" s="12">
        <v>30330.0221599668</v>
      </c>
      <c r="X17" s="12">
        <v>30325.028779392302</v>
      </c>
      <c r="Y17" s="12">
        <v>30639.882975143199</v>
      </c>
      <c r="Z17" s="12">
        <v>31077.6792675211</v>
      </c>
      <c r="AA17" s="12">
        <v>31635.522771079999</v>
      </c>
      <c r="AB17" s="12">
        <v>31819.397183006698</v>
      </c>
      <c r="AC17" s="12">
        <v>32180.4341017429</v>
      </c>
      <c r="AD17" s="12">
        <v>29469.7989238626</v>
      </c>
      <c r="AE17" s="12">
        <v>32267.709105020102</v>
      </c>
      <c r="AF17" s="12">
        <v>33891.886652621601</v>
      </c>
      <c r="AG17" s="12">
        <v>34239.655475123902</v>
      </c>
      <c r="AH17" s="12">
        <v>34495.254579963599</v>
      </c>
    </row>
    <row r="18" spans="1:34" x14ac:dyDescent="0.35">
      <c r="A18" s="11" t="s">
        <v>54</v>
      </c>
      <c r="B18" s="11" t="s">
        <v>55</v>
      </c>
      <c r="C18" s="12">
        <v>4464.7211347223001</v>
      </c>
      <c r="D18" s="12">
        <v>4639.5056516141804</v>
      </c>
      <c r="E18" s="12">
        <v>4661.66840092451</v>
      </c>
      <c r="F18" s="12">
        <v>4822.9041486112501</v>
      </c>
      <c r="G18" s="12">
        <v>5317.9799760497899</v>
      </c>
      <c r="H18" s="12">
        <v>5719.9891828148102</v>
      </c>
      <c r="I18" s="12">
        <v>5929.2676723782497</v>
      </c>
      <c r="J18" s="12">
        <v>6336.3829670798696</v>
      </c>
      <c r="K18" s="12">
        <v>6833.4354323157004</v>
      </c>
      <c r="L18" s="12">
        <v>7443.2294465905898</v>
      </c>
      <c r="M18" s="12">
        <v>8149.0018360008398</v>
      </c>
      <c r="N18" s="12">
        <v>8957.2339355508193</v>
      </c>
      <c r="O18" s="12">
        <v>10106.262615773199</v>
      </c>
      <c r="P18" s="12">
        <v>11507.4648265658</v>
      </c>
      <c r="Q18" s="12">
        <v>12810.040950254201</v>
      </c>
      <c r="R18" s="12">
        <v>12506.6945041013</v>
      </c>
      <c r="S18" s="12">
        <v>10675.425174227999</v>
      </c>
      <c r="T18" s="12">
        <v>10500.866622301401</v>
      </c>
      <c r="U18" s="12">
        <v>11018.515242158401</v>
      </c>
      <c r="V18" s="12">
        <v>11971.0107466522</v>
      </c>
      <c r="W18" s="12">
        <v>12353.5386135301</v>
      </c>
      <c r="X18" s="12">
        <v>12731.6771959342</v>
      </c>
      <c r="Y18" s="12">
        <v>13321.975314061599</v>
      </c>
      <c r="Z18" s="12">
        <v>13787.336744002299</v>
      </c>
      <c r="AA18" s="12">
        <v>14382.8612727134</v>
      </c>
      <c r="AB18" s="12">
        <v>15120.0698171804</v>
      </c>
      <c r="AC18" s="12">
        <v>15328.385993329501</v>
      </c>
      <c r="AD18" s="12">
        <v>14900.729571886601</v>
      </c>
      <c r="AE18" s="12">
        <v>16070.1680032322</v>
      </c>
      <c r="AF18" s="12">
        <v>16421.3748596</v>
      </c>
      <c r="AG18" s="12">
        <v>16229.3844520245</v>
      </c>
      <c r="AH18" s="12">
        <v>16374.773539624</v>
      </c>
    </row>
    <row r="19" spans="1:34" x14ac:dyDescent="0.35">
      <c r="A19" s="11" t="s">
        <v>56</v>
      </c>
      <c r="B19" s="11" t="s">
        <v>57</v>
      </c>
      <c r="C19" s="12">
        <v>5206.4426611074196</v>
      </c>
      <c r="D19" s="12">
        <v>4730.6963195850904</v>
      </c>
      <c r="E19" s="12">
        <v>4924.0966753070697</v>
      </c>
      <c r="F19" s="12">
        <v>5211.10025197912</v>
      </c>
      <c r="G19" s="12">
        <v>5685.4490149102403</v>
      </c>
      <c r="H19" s="12">
        <v>6154.1724564063597</v>
      </c>
      <c r="I19" s="12">
        <v>6129.99843995634</v>
      </c>
      <c r="J19" s="12">
        <v>6384.3086542637402</v>
      </c>
      <c r="K19" s="12">
        <v>6854.5251282667105</v>
      </c>
      <c r="L19" s="12">
        <v>7374.0979710115998</v>
      </c>
      <c r="M19" s="12">
        <v>8218.6933628984807</v>
      </c>
      <c r="N19" s="12">
        <v>8851.9259892234695</v>
      </c>
      <c r="O19" s="12">
        <v>9692.8685376326703</v>
      </c>
      <c r="P19" s="12">
        <v>10577.2145522871</v>
      </c>
      <c r="Q19" s="12">
        <v>11889.354523465699</v>
      </c>
      <c r="R19" s="12">
        <v>12324.519733138701</v>
      </c>
      <c r="S19" s="12">
        <v>10612.9204044582</v>
      </c>
      <c r="T19" s="12">
        <v>10884.116185258301</v>
      </c>
      <c r="U19" s="12">
        <v>11836.7200384033</v>
      </c>
      <c r="V19" s="12">
        <v>12516.6184065668</v>
      </c>
      <c r="W19" s="12">
        <v>13145.8069309969</v>
      </c>
      <c r="X19" s="12">
        <v>13753.1895982305</v>
      </c>
      <c r="Y19" s="12">
        <v>14269.8039878287</v>
      </c>
      <c r="Z19" s="12">
        <v>14823.107153522</v>
      </c>
      <c r="AA19" s="12">
        <v>15695.999328845601</v>
      </c>
      <c r="AB19" s="12">
        <v>16604.902144080901</v>
      </c>
      <c r="AC19" s="12">
        <v>17431.7239081591</v>
      </c>
      <c r="AD19" s="12">
        <v>17443.655263280001</v>
      </c>
      <c r="AE19" s="12">
        <v>18569.705724621701</v>
      </c>
      <c r="AF19" s="12">
        <v>18884.5152531698</v>
      </c>
      <c r="AG19" s="12">
        <v>18685.5523679178</v>
      </c>
      <c r="AH19" s="12">
        <v>19092.645117695502</v>
      </c>
    </row>
    <row r="20" spans="1:34" x14ac:dyDescent="0.35">
      <c r="A20" s="11" t="s">
        <v>58</v>
      </c>
      <c r="B20" s="11" t="s">
        <v>59</v>
      </c>
      <c r="C20" s="12">
        <v>73116.193340613303</v>
      </c>
      <c r="D20" s="12">
        <v>74883.141575134898</v>
      </c>
      <c r="E20" s="12">
        <v>74896.096454256098</v>
      </c>
      <c r="F20" s="12">
        <v>74916.507392658896</v>
      </c>
      <c r="G20" s="12">
        <v>77993.057369336297</v>
      </c>
      <c r="H20" s="12">
        <v>82170.239247206206</v>
      </c>
      <c r="I20" s="12">
        <v>87695.339088539404</v>
      </c>
      <c r="J20" s="12">
        <v>92527.710870522598</v>
      </c>
      <c r="K20" s="12">
        <v>94243.706836098907</v>
      </c>
      <c r="L20" s="12">
        <v>96269.579748427495</v>
      </c>
      <c r="M20" s="12">
        <v>97597.997318456502</v>
      </c>
      <c r="N20" s="12">
        <v>100292.566948333</v>
      </c>
      <c r="O20" s="12">
        <v>101222.044353044</v>
      </c>
      <c r="P20" s="12">
        <v>105614.17885176399</v>
      </c>
      <c r="Q20" s="12">
        <v>112417.87698945501</v>
      </c>
      <c r="R20" s="12">
        <v>110094.791529429</v>
      </c>
      <c r="S20" s="12">
        <v>104574.349049084</v>
      </c>
      <c r="T20" s="12">
        <v>106544.057363484</v>
      </c>
      <c r="U20" s="12">
        <v>105290.249021891</v>
      </c>
      <c r="V20" s="12">
        <v>104487.744312565</v>
      </c>
      <c r="W20" s="12">
        <v>105338.955521681</v>
      </c>
      <c r="X20" s="12">
        <v>105583.93727342899</v>
      </c>
      <c r="Y20" s="12">
        <v>105462.01258442301</v>
      </c>
      <c r="Z20" s="12">
        <v>108351.451826984</v>
      </c>
      <c r="AA20" s="12">
        <v>107142.12667259799</v>
      </c>
      <c r="AB20" s="12">
        <v>106788.728745199</v>
      </c>
      <c r="AC20" s="12">
        <v>107591.965850496</v>
      </c>
      <c r="AD20" s="12">
        <v>105274.2471768</v>
      </c>
      <c r="AE20" s="12">
        <v>110873.185245175</v>
      </c>
      <c r="AF20" s="12">
        <v>107467.187082637</v>
      </c>
      <c r="AG20" s="12">
        <v>105422.82966786899</v>
      </c>
      <c r="AH20" s="12">
        <v>104147.1739928</v>
      </c>
    </row>
    <row r="21" spans="1:34" x14ac:dyDescent="0.35">
      <c r="A21" s="11" t="s">
        <v>60</v>
      </c>
      <c r="B21" s="11" t="s">
        <v>61</v>
      </c>
      <c r="C21" s="12">
        <v>11161.197605225299</v>
      </c>
      <c r="D21" s="12">
        <v>11682.1569740746</v>
      </c>
      <c r="E21" s="12">
        <v>12336.7913490463</v>
      </c>
      <c r="F21" s="12">
        <v>12719.015202376</v>
      </c>
      <c r="G21" s="12">
        <v>13286.7170509793</v>
      </c>
      <c r="H21" s="12">
        <v>13877.254104760899</v>
      </c>
      <c r="I21" s="12">
        <v>14446.355997725101</v>
      </c>
      <c r="J21" s="12">
        <v>17178.377381105602</v>
      </c>
      <c r="K21" s="12">
        <v>16920.730970660901</v>
      </c>
      <c r="L21" s="12">
        <v>17255.429944098702</v>
      </c>
      <c r="M21" s="12">
        <v>17775.426478639201</v>
      </c>
      <c r="N21" s="12">
        <v>17728.365976164801</v>
      </c>
      <c r="O21" s="12">
        <v>18123.268518455399</v>
      </c>
      <c r="P21" s="12">
        <v>18479.213008170998</v>
      </c>
      <c r="Q21" s="12">
        <v>19342.325292988698</v>
      </c>
      <c r="R21" s="12">
        <v>20064.461084508101</v>
      </c>
      <c r="S21" s="12">
        <v>19635.915780597101</v>
      </c>
      <c r="T21" s="12">
        <v>20750.647946159799</v>
      </c>
      <c r="U21" s="12">
        <v>20867.9310851632</v>
      </c>
      <c r="V21" s="12">
        <v>21529.398216756599</v>
      </c>
      <c r="W21" s="12">
        <v>22626.498139134299</v>
      </c>
      <c r="X21" s="12">
        <v>23866.0667851301</v>
      </c>
      <c r="Y21" s="12">
        <v>25529.681333771699</v>
      </c>
      <c r="Z21" s="12">
        <v>25969.512035202701</v>
      </c>
      <c r="AA21" s="12">
        <v>28546.659736591198</v>
      </c>
      <c r="AB21" s="12">
        <v>29536.805237471599</v>
      </c>
      <c r="AC21" s="12">
        <v>29522.661886008002</v>
      </c>
      <c r="AD21" s="12">
        <v>27861.820284453799</v>
      </c>
      <c r="AE21" s="12">
        <v>31436.349303093801</v>
      </c>
      <c r="AF21" s="12">
        <v>31430.618707023601</v>
      </c>
      <c r="AG21" s="12">
        <v>33408.200501587198</v>
      </c>
      <c r="AH21" s="12">
        <v>34670.081599711899</v>
      </c>
    </row>
    <row r="22" spans="1:34" x14ac:dyDescent="0.35">
      <c r="A22" s="11" t="s">
        <v>62</v>
      </c>
      <c r="B22" s="11" t="s">
        <v>63</v>
      </c>
      <c r="C22" s="12">
        <v>32297.9766237802</v>
      </c>
      <c r="D22" s="12">
        <v>33054.449558964101</v>
      </c>
      <c r="E22" s="12">
        <v>33916.500786538199</v>
      </c>
      <c r="F22" s="12">
        <v>34915.1715894675</v>
      </c>
      <c r="G22" s="12">
        <v>36211.649288757602</v>
      </c>
      <c r="H22" s="12">
        <v>37661.733732587803</v>
      </c>
      <c r="I22" s="12">
        <v>39298.733435331902</v>
      </c>
      <c r="J22" s="12">
        <v>40665.338169599003</v>
      </c>
      <c r="K22" s="12">
        <v>41297.3198832208</v>
      </c>
      <c r="L22" s="12">
        <v>41135.419073626297</v>
      </c>
      <c r="M22" s="12">
        <v>40981.847703997199</v>
      </c>
      <c r="N22" s="12">
        <v>41663.147777269201</v>
      </c>
      <c r="O22" s="12">
        <v>42411.345383851803</v>
      </c>
      <c r="P22" s="12">
        <v>43841.122340410402</v>
      </c>
      <c r="Q22" s="12">
        <v>45445.522872349</v>
      </c>
      <c r="R22" s="12">
        <v>46227.211156218997</v>
      </c>
      <c r="S22" s="12">
        <v>44304.4119317351</v>
      </c>
      <c r="T22" s="12">
        <v>44659.272839058001</v>
      </c>
      <c r="U22" s="12">
        <v>45239.731888796203</v>
      </c>
      <c r="V22" s="12">
        <v>44631.874538878998</v>
      </c>
      <c r="W22" s="12">
        <v>44487.030634690003</v>
      </c>
      <c r="X22" s="12">
        <v>45042.066954583199</v>
      </c>
      <c r="Y22" s="12">
        <v>45793.813543469703</v>
      </c>
      <c r="Z22" s="12">
        <v>46655.0363382039</v>
      </c>
      <c r="AA22" s="12">
        <v>47670.105725329697</v>
      </c>
      <c r="AB22" s="12">
        <v>48463.029973995101</v>
      </c>
      <c r="AC22" s="12">
        <v>49254.015885426401</v>
      </c>
      <c r="AD22" s="12">
        <v>47086.580419270198</v>
      </c>
      <c r="AE22" s="12">
        <v>49780.844052683598</v>
      </c>
      <c r="AF22" s="12">
        <v>51777.543158886401</v>
      </c>
      <c r="AG22" s="12">
        <v>50960.7745021066</v>
      </c>
      <c r="AH22" s="12">
        <v>51178.5256968147</v>
      </c>
    </row>
    <row r="23" spans="1:34" x14ac:dyDescent="0.35">
      <c r="A23" s="11" t="s">
        <v>64</v>
      </c>
      <c r="B23" s="11" t="s">
        <v>65</v>
      </c>
      <c r="C23" s="12">
        <v>15110.139255833899</v>
      </c>
      <c r="D23" s="12">
        <v>15214.9307536408</v>
      </c>
      <c r="E23" s="12">
        <v>15811.7171369279</v>
      </c>
      <c r="F23" s="12">
        <v>16304.3794463959</v>
      </c>
      <c r="G23" s="12">
        <v>16946.086865108002</v>
      </c>
      <c r="H23" s="12">
        <v>17671.313508291201</v>
      </c>
      <c r="I23" s="12">
        <v>18258.0911720943</v>
      </c>
      <c r="J23" s="12">
        <v>18822.093309293701</v>
      </c>
      <c r="K23" s="12">
        <v>19053.089945659001</v>
      </c>
      <c r="L23" s="12">
        <v>19095.110247739802</v>
      </c>
      <c r="M23" s="12">
        <v>18846.541189363201</v>
      </c>
      <c r="N23" s="12">
        <v>19137.8370898949</v>
      </c>
      <c r="O23" s="12">
        <v>19251.7145068301</v>
      </c>
      <c r="P23" s="12">
        <v>19529.312210047701</v>
      </c>
      <c r="Q23" s="12">
        <v>19979.5706280792</v>
      </c>
      <c r="R23" s="12">
        <v>20014.474933000402</v>
      </c>
      <c r="S23" s="12">
        <v>19371.1318876855</v>
      </c>
      <c r="T23" s="12">
        <v>19698.6836791397</v>
      </c>
      <c r="U23" s="12">
        <v>19389.639589616199</v>
      </c>
      <c r="V23" s="12">
        <v>18679.7626789594</v>
      </c>
      <c r="W23" s="12">
        <v>18597.721462396399</v>
      </c>
      <c r="X23" s="12">
        <v>18836.8967978906</v>
      </c>
      <c r="Y23" s="12">
        <v>19215.781301434701</v>
      </c>
      <c r="Z23" s="12">
        <v>19662.823124620001</v>
      </c>
      <c r="AA23" s="12">
        <v>20364.1962735946</v>
      </c>
      <c r="AB23" s="12">
        <v>20997.7745987013</v>
      </c>
      <c r="AC23" s="12">
        <v>21569.187475291899</v>
      </c>
      <c r="AD23" s="12">
        <v>19778.713952572201</v>
      </c>
      <c r="AE23" s="12">
        <v>20747.699073416301</v>
      </c>
      <c r="AF23" s="12">
        <v>22042.868028364701</v>
      </c>
      <c r="AG23" s="12">
        <v>22417.161586438498</v>
      </c>
      <c r="AH23" s="12">
        <v>22647.379189557902</v>
      </c>
    </row>
    <row r="24" spans="1:34" x14ac:dyDescent="0.35">
      <c r="A24" s="11" t="s">
        <v>66</v>
      </c>
      <c r="B24" s="11" t="s">
        <v>67</v>
      </c>
      <c r="C24" s="12">
        <v>39807.879503420598</v>
      </c>
      <c r="D24" s="12">
        <v>40907.0184352707</v>
      </c>
      <c r="E24" s="12">
        <v>41507.9135604158</v>
      </c>
      <c r="F24" s="12">
        <v>42575.689693677297</v>
      </c>
      <c r="G24" s="12">
        <v>43936.905001807303</v>
      </c>
      <c r="H24" s="12">
        <v>45374.621518923297</v>
      </c>
      <c r="I24" s="12">
        <v>47004.469017723</v>
      </c>
      <c r="J24" s="12">
        <v>48379.755170578101</v>
      </c>
      <c r="K24" s="12">
        <v>48361.016760707302</v>
      </c>
      <c r="L24" s="12">
        <v>48729.158644262498</v>
      </c>
      <c r="M24" s="12">
        <v>49662.752054983903</v>
      </c>
      <c r="N24" s="12">
        <v>51098.557300741697</v>
      </c>
      <c r="O24" s="12">
        <v>52393.451311309203</v>
      </c>
      <c r="P24" s="12">
        <v>53335.5896950225</v>
      </c>
      <c r="Q24" s="12">
        <v>53889.396495177498</v>
      </c>
      <c r="R24" s="12">
        <v>53442.713689977703</v>
      </c>
      <c r="S24" s="12">
        <v>51611.321708771902</v>
      </c>
      <c r="T24" s="12">
        <v>52555.769513402302</v>
      </c>
      <c r="U24" s="12">
        <v>52956.6630340962</v>
      </c>
      <c r="V24" s="12">
        <v>53738.147671459301</v>
      </c>
      <c r="W24" s="12">
        <v>54462.625241240698</v>
      </c>
      <c r="X24" s="12">
        <v>55394.451043532899</v>
      </c>
      <c r="Y24" s="12">
        <v>56572.918899606302</v>
      </c>
      <c r="Z24" s="12">
        <v>57151.470844837197</v>
      </c>
      <c r="AA24" s="12">
        <v>58151.7021391854</v>
      </c>
      <c r="AB24" s="12">
        <v>59526.665698712</v>
      </c>
      <c r="AC24" s="12">
        <v>60750.989862163697</v>
      </c>
      <c r="AD24" s="12">
        <v>59194.666517203099</v>
      </c>
      <c r="AE24" s="12">
        <v>62680.250358580503</v>
      </c>
      <c r="AF24" s="12">
        <v>63886.131706984102</v>
      </c>
      <c r="AG24" s="12">
        <v>65186.597724415697</v>
      </c>
      <c r="AH24" s="12">
        <v>66356.1706750101</v>
      </c>
    </row>
    <row r="25" spans="1:34" x14ac:dyDescent="0.35">
      <c r="A25" s="11" t="s">
        <v>68</v>
      </c>
      <c r="B25" s="11" t="s">
        <v>69</v>
      </c>
      <c r="C25" s="12">
        <v>30862.411812165399</v>
      </c>
      <c r="D25" s="12">
        <v>32308.795272211501</v>
      </c>
      <c r="E25" s="12">
        <v>33362.016127250703</v>
      </c>
      <c r="F25" s="12">
        <v>34147.345905403301</v>
      </c>
      <c r="G25" s="12">
        <v>35721.6105928791</v>
      </c>
      <c r="H25" s="12">
        <v>36773.928779040602</v>
      </c>
      <c r="I25" s="12">
        <v>37730.715559116099</v>
      </c>
      <c r="J25" s="12">
        <v>39297.136631726702</v>
      </c>
      <c r="K25" s="12">
        <v>40082.135935682199</v>
      </c>
      <c r="L25" s="12">
        <v>40594.932929344999</v>
      </c>
      <c r="M25" s="12">
        <v>41706.830393012599</v>
      </c>
      <c r="N25" s="12">
        <v>42434.820902363797</v>
      </c>
      <c r="O25" s="12">
        <v>43320.562868443798</v>
      </c>
      <c r="P25" s="12">
        <v>43944.998579906904</v>
      </c>
      <c r="Q25" s="12">
        <v>44882.141312303997</v>
      </c>
      <c r="R25" s="12">
        <v>44508.287463147899</v>
      </c>
      <c r="S25" s="12">
        <v>42146.509587996203</v>
      </c>
      <c r="T25" s="12">
        <v>42762.720840223003</v>
      </c>
      <c r="U25" s="12">
        <v>42791.093431347399</v>
      </c>
      <c r="V25" s="12">
        <v>43136.7006795997</v>
      </c>
      <c r="W25" s="12">
        <v>43585.193623864703</v>
      </c>
      <c r="X25" s="12">
        <v>44627.881826864403</v>
      </c>
      <c r="Y25" s="12">
        <v>45255.344921620897</v>
      </c>
      <c r="Z25" s="12">
        <v>45888.010513074798</v>
      </c>
      <c r="AA25" s="12">
        <v>47018.025475767601</v>
      </c>
      <c r="AB25" s="12">
        <v>47514.776369345302</v>
      </c>
      <c r="AC25" s="12">
        <v>47864.758871263402</v>
      </c>
      <c r="AD25" s="12">
        <v>42982.463100764202</v>
      </c>
      <c r="AE25" s="12">
        <v>46487.342470654898</v>
      </c>
      <c r="AF25" s="12">
        <v>48433.009835766999</v>
      </c>
      <c r="AG25" s="12">
        <v>47934.9375098983</v>
      </c>
      <c r="AH25" s="12">
        <v>47960.910576194197</v>
      </c>
    </row>
  </sheetData>
  <mergeCells count="1">
    <mergeCell ref="A1:A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25"/>
  <sheetViews>
    <sheetView zoomScaleNormal="100" workbookViewId="0">
      <pane xSplit="2" ySplit="3" topLeftCell="C4" activePane="bottomRight" state="frozen"/>
      <selection pane="topRight" activeCell="C1" sqref="C1"/>
      <selection pane="bottomLeft" activeCell="A4" sqref="A4"/>
      <selection pane="bottomRight"/>
    </sheetView>
  </sheetViews>
  <sheetFormatPr baseColWidth="10" defaultColWidth="8.6328125" defaultRowHeight="14.5" x14ac:dyDescent="0.35"/>
  <cols>
    <col min="1" max="1" width="9" customWidth="1"/>
    <col min="2" max="2" width="18" customWidth="1"/>
    <col min="3" max="34" width="14" customWidth="1"/>
  </cols>
  <sheetData>
    <row r="1" spans="1:34" ht="18.649999999999999" customHeight="1" x14ac:dyDescent="0.35">
      <c r="A1" s="4" t="s">
        <v>70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row>
    <row r="3" spans="1:34" x14ac:dyDescent="0.35">
      <c r="A3" s="10" t="s">
        <v>24</v>
      </c>
      <c r="B3" s="10" t="s">
        <v>25</v>
      </c>
      <c r="C3" s="10">
        <v>1993</v>
      </c>
      <c r="D3" s="10">
        <v>1994</v>
      </c>
      <c r="E3" s="10">
        <v>1995</v>
      </c>
      <c r="F3" s="10">
        <v>1996</v>
      </c>
      <c r="G3" s="10">
        <v>1997</v>
      </c>
      <c r="H3" s="10">
        <v>1998</v>
      </c>
      <c r="I3" s="10">
        <v>1999</v>
      </c>
      <c r="J3" s="10">
        <v>2000</v>
      </c>
      <c r="K3" s="10">
        <v>2001</v>
      </c>
      <c r="L3" s="10">
        <v>2002</v>
      </c>
      <c r="M3" s="10">
        <v>2003</v>
      </c>
      <c r="N3" s="10">
        <v>2004</v>
      </c>
      <c r="O3" s="10">
        <v>2005</v>
      </c>
      <c r="P3" s="10">
        <v>2006</v>
      </c>
      <c r="Q3" s="10">
        <v>2007</v>
      </c>
      <c r="R3" s="10">
        <v>2008</v>
      </c>
      <c r="S3" s="10">
        <v>2009</v>
      </c>
      <c r="T3" s="10">
        <v>2010</v>
      </c>
      <c r="U3" s="10">
        <v>2011</v>
      </c>
      <c r="V3" s="10">
        <v>2012</v>
      </c>
      <c r="W3" s="10">
        <v>2013</v>
      </c>
      <c r="X3" s="10">
        <v>2014</v>
      </c>
      <c r="Y3" s="10">
        <v>2015</v>
      </c>
      <c r="Z3" s="10">
        <v>2016</v>
      </c>
      <c r="AA3" s="10">
        <v>2017</v>
      </c>
      <c r="AB3" s="10">
        <v>2018</v>
      </c>
      <c r="AC3" s="10">
        <v>2019</v>
      </c>
      <c r="AD3" s="10">
        <v>2020</v>
      </c>
      <c r="AE3" s="10">
        <v>2021</v>
      </c>
      <c r="AF3" s="10">
        <v>2022</v>
      </c>
      <c r="AG3" s="10">
        <v>2023</v>
      </c>
      <c r="AH3" s="10">
        <v>2024</v>
      </c>
    </row>
    <row r="4" spans="1:34" x14ac:dyDescent="0.35">
      <c r="A4" s="11" t="s">
        <v>26</v>
      </c>
      <c r="B4" s="11" t="s">
        <v>27</v>
      </c>
      <c r="C4" s="12">
        <v>2510330187123.3198</v>
      </c>
      <c r="D4" s="12">
        <v>2575519839599.4502</v>
      </c>
      <c r="E4" s="12">
        <v>2614281254585.2598</v>
      </c>
      <c r="F4" s="12">
        <v>2641414240990.6602</v>
      </c>
      <c r="G4" s="12">
        <v>2690394576515.0601</v>
      </c>
      <c r="H4" s="12">
        <v>2746774816494.4199</v>
      </c>
      <c r="I4" s="12">
        <v>2805269313430.6699</v>
      </c>
      <c r="J4" s="12">
        <v>2885963533943.4702</v>
      </c>
      <c r="K4" s="12">
        <v>2933181986968.52</v>
      </c>
      <c r="L4" s="12">
        <v>2926486831428.6299</v>
      </c>
      <c r="M4" s="12">
        <v>2910982263391.9702</v>
      </c>
      <c r="N4" s="12">
        <v>2944810405337.25</v>
      </c>
      <c r="O4" s="12">
        <v>2970886268370.04</v>
      </c>
      <c r="P4" s="12">
        <v>3085761005285.6499</v>
      </c>
      <c r="Q4" s="12">
        <v>3174912263837.6802</v>
      </c>
      <c r="R4" s="12">
        <v>3203102383827.3599</v>
      </c>
      <c r="S4" s="12">
        <v>3025504625850.0498</v>
      </c>
      <c r="T4" s="12">
        <v>3150598283304.25</v>
      </c>
      <c r="U4" s="12">
        <v>3268996785218.5698</v>
      </c>
      <c r="V4" s="12">
        <v>3284148978797.6899</v>
      </c>
      <c r="W4" s="12">
        <v>3297186905208.25</v>
      </c>
      <c r="X4" s="12">
        <v>3369071713224.27</v>
      </c>
      <c r="Y4" s="12">
        <v>3425099578746.0898</v>
      </c>
      <c r="Z4" s="12">
        <v>3501212900675.8901</v>
      </c>
      <c r="AA4" s="12">
        <v>3599173571724.7002</v>
      </c>
      <c r="AB4" s="12">
        <v>3640049243667.3999</v>
      </c>
      <c r="AC4" s="12">
        <v>3675639268112.04</v>
      </c>
      <c r="AD4" s="12">
        <v>3523764998709.9702</v>
      </c>
      <c r="AE4" s="12">
        <v>3661544208117.2002</v>
      </c>
      <c r="AF4" s="12">
        <v>3727790994177.6201</v>
      </c>
      <c r="AG4" s="12">
        <v>3695372350062.48</v>
      </c>
      <c r="AH4" s="12">
        <v>3677048776153.8599</v>
      </c>
    </row>
    <row r="5" spans="1:34" x14ac:dyDescent="0.35">
      <c r="A5" s="11" t="s">
        <v>28</v>
      </c>
      <c r="B5" s="11" t="s">
        <v>29</v>
      </c>
      <c r="C5" s="12">
        <v>254046171814.293</v>
      </c>
      <c r="D5" s="12">
        <v>260148661734.73499</v>
      </c>
      <c r="E5" s="12">
        <v>267089386116.81201</v>
      </c>
      <c r="F5" s="12">
        <v>273007464944.44</v>
      </c>
      <c r="G5" s="12">
        <v>278865754830.70697</v>
      </c>
      <c r="H5" s="12">
        <v>288606201090.64697</v>
      </c>
      <c r="I5" s="12">
        <v>299463348050.58301</v>
      </c>
      <c r="J5" s="12">
        <v>309014800203.26599</v>
      </c>
      <c r="K5" s="12">
        <v>313084486481.84698</v>
      </c>
      <c r="L5" s="12">
        <v>317731814841.84998</v>
      </c>
      <c r="M5" s="12">
        <v>321358930178.28802</v>
      </c>
      <c r="N5" s="12">
        <v>329602607297.43402</v>
      </c>
      <c r="O5" s="12">
        <v>337250591306.48798</v>
      </c>
      <c r="P5" s="12">
        <v>348276446349.07501</v>
      </c>
      <c r="Q5" s="12">
        <v>361424664731.66901</v>
      </c>
      <c r="R5" s="12">
        <v>366677269701.41602</v>
      </c>
      <c r="S5" s="12">
        <v>353527252121.64001</v>
      </c>
      <c r="T5" s="12">
        <v>359922497999.32599</v>
      </c>
      <c r="U5" s="12">
        <v>370459113959.14502</v>
      </c>
      <c r="V5" s="12">
        <v>372786509411.40302</v>
      </c>
      <c r="W5" s="12">
        <v>371851835129.742</v>
      </c>
      <c r="X5" s="12">
        <v>374662287024.534</v>
      </c>
      <c r="Y5" s="12">
        <v>379546097300.633</v>
      </c>
      <c r="Z5" s="12">
        <v>387581921834.297</v>
      </c>
      <c r="AA5" s="12">
        <v>396388751744.59198</v>
      </c>
      <c r="AB5" s="12">
        <v>406235924915.185</v>
      </c>
      <c r="AC5" s="12">
        <v>413365268699.04901</v>
      </c>
      <c r="AD5" s="12">
        <v>387247796560.50098</v>
      </c>
      <c r="AE5" s="12">
        <v>406312360757.92902</v>
      </c>
      <c r="AF5" s="12">
        <v>427972725600.49597</v>
      </c>
      <c r="AG5" s="12">
        <v>424607814488.71997</v>
      </c>
      <c r="AH5" s="12">
        <v>421809268656.55402</v>
      </c>
    </row>
    <row r="6" spans="1:34" x14ac:dyDescent="0.35">
      <c r="A6" s="11" t="s">
        <v>30</v>
      </c>
      <c r="B6" s="11" t="s">
        <v>31</v>
      </c>
      <c r="C6" s="12">
        <v>302205439885.58197</v>
      </c>
      <c r="D6" s="12">
        <v>311957523163.91803</v>
      </c>
      <c r="E6" s="12">
        <v>319396952810.43903</v>
      </c>
      <c r="F6" s="12">
        <v>323617566812.87402</v>
      </c>
      <c r="G6" s="12">
        <v>335894554716.99597</v>
      </c>
      <c r="H6" s="12">
        <v>342484242936.573</v>
      </c>
      <c r="I6" s="12">
        <v>354617493817.97198</v>
      </c>
      <c r="J6" s="12">
        <v>367797580320.04797</v>
      </c>
      <c r="K6" s="12">
        <v>371841895842.95398</v>
      </c>
      <c r="L6" s="12">
        <v>378188843981.10901</v>
      </c>
      <c r="M6" s="12">
        <v>382114274683.52802</v>
      </c>
      <c r="N6" s="12">
        <v>395760365336.901</v>
      </c>
      <c r="O6" s="12">
        <v>404948883847.34497</v>
      </c>
      <c r="P6" s="12">
        <v>415284559725.448</v>
      </c>
      <c r="Q6" s="12">
        <v>430554259966.47198</v>
      </c>
      <c r="R6" s="12">
        <v>432478429044.82703</v>
      </c>
      <c r="S6" s="12">
        <v>424233482718.83398</v>
      </c>
      <c r="T6" s="12">
        <v>435731531598.61603</v>
      </c>
      <c r="U6" s="12">
        <v>444146182962.729</v>
      </c>
      <c r="V6" s="12">
        <v>445104666468.521</v>
      </c>
      <c r="W6" s="12">
        <v>446464436962.23999</v>
      </c>
      <c r="X6" s="12">
        <v>454346946885.841</v>
      </c>
      <c r="Y6" s="12">
        <v>461044767544.53101</v>
      </c>
      <c r="Z6" s="12">
        <v>466547349432.05499</v>
      </c>
      <c r="AA6" s="12">
        <v>473426439010.71997</v>
      </c>
      <c r="AB6" s="12">
        <v>482317238282.14502</v>
      </c>
      <c r="AC6" s="12">
        <v>494099718080.56897</v>
      </c>
      <c r="AD6" s="12">
        <v>470417598101.755</v>
      </c>
      <c r="AE6" s="12">
        <v>499839663858.82703</v>
      </c>
      <c r="AF6" s="12">
        <v>519614510458.48798</v>
      </c>
      <c r="AG6" s="12">
        <v>528521336864.414</v>
      </c>
      <c r="AH6" s="12">
        <v>534178915343.83698</v>
      </c>
    </row>
    <row r="7" spans="1:34" x14ac:dyDescent="0.35">
      <c r="A7" s="11" t="s">
        <v>32</v>
      </c>
      <c r="B7" s="11" t="s">
        <v>33</v>
      </c>
      <c r="C7" s="12">
        <v>11033726777.696899</v>
      </c>
      <c r="D7" s="12">
        <v>11684716578.715401</v>
      </c>
      <c r="E7" s="12">
        <v>12661847363.650999</v>
      </c>
      <c r="F7" s="12">
        <v>12819935779.5217</v>
      </c>
      <c r="G7" s="12">
        <v>13158501394.566</v>
      </c>
      <c r="H7" s="12">
        <v>13962602012.6924</v>
      </c>
      <c r="I7" s="12">
        <v>14660446535.5061</v>
      </c>
      <c r="J7" s="12">
        <v>15534986805.803101</v>
      </c>
      <c r="K7" s="12">
        <v>16149016881.4093</v>
      </c>
      <c r="L7" s="12">
        <v>16750240728.3241</v>
      </c>
      <c r="M7" s="12">
        <v>17189649730.227501</v>
      </c>
      <c r="N7" s="12">
        <v>18053648327.353199</v>
      </c>
      <c r="O7" s="12">
        <v>18929789645.954899</v>
      </c>
      <c r="P7" s="12">
        <v>19822098963.138802</v>
      </c>
      <c r="Q7" s="12">
        <v>20832674395.668598</v>
      </c>
      <c r="R7" s="12">
        <v>21592439785.332901</v>
      </c>
      <c r="S7" s="12">
        <v>21157334409.903801</v>
      </c>
      <c r="T7" s="12">
        <v>21640286747.105202</v>
      </c>
      <c r="U7" s="12">
        <v>21730464390.338001</v>
      </c>
      <c r="V7" s="12">
        <v>20981332378.094398</v>
      </c>
      <c r="W7" s="12">
        <v>19599191826.1408</v>
      </c>
      <c r="X7" s="12">
        <v>19251098679.034599</v>
      </c>
      <c r="Y7" s="12">
        <v>19909278416.857498</v>
      </c>
      <c r="Z7" s="12">
        <v>21218032913.055401</v>
      </c>
      <c r="AA7" s="12">
        <v>22438246417.151402</v>
      </c>
      <c r="AB7" s="12">
        <v>23845497750.3008</v>
      </c>
      <c r="AC7" s="12">
        <v>25246562822.682098</v>
      </c>
      <c r="AD7" s="12">
        <v>24433464399.392502</v>
      </c>
      <c r="AE7" s="12">
        <v>27218282939.640999</v>
      </c>
      <c r="AF7" s="12">
        <v>29470249084.605801</v>
      </c>
      <c r="AG7" s="12">
        <v>30536911914.859501</v>
      </c>
      <c r="AH7" s="12">
        <v>31740302544.146301</v>
      </c>
    </row>
    <row r="8" spans="1:34" x14ac:dyDescent="0.35">
      <c r="A8" s="11" t="s">
        <v>34</v>
      </c>
      <c r="B8" s="11" t="s">
        <v>35</v>
      </c>
      <c r="C8" s="12">
        <v>29860844322.419899</v>
      </c>
      <c r="D8" s="12">
        <v>31613817618.237598</v>
      </c>
      <c r="E8" s="12">
        <v>33747976036.350399</v>
      </c>
      <c r="F8" s="12">
        <v>35809633429.591904</v>
      </c>
      <c r="G8" s="12">
        <v>38018368234.564201</v>
      </c>
      <c r="H8" s="12">
        <v>38874419434.949501</v>
      </c>
      <c r="I8" s="12">
        <v>38544494402.668999</v>
      </c>
      <c r="J8" s="12">
        <v>39679727338.705399</v>
      </c>
      <c r="K8" s="12">
        <v>40914256867.749199</v>
      </c>
      <c r="L8" s="12">
        <v>43288645498.5317</v>
      </c>
      <c r="M8" s="12">
        <v>45699118672.156998</v>
      </c>
      <c r="N8" s="12">
        <v>47604993515.2593</v>
      </c>
      <c r="O8" s="12">
        <v>49664897966.628197</v>
      </c>
      <c r="P8" s="12">
        <v>52182450238.361099</v>
      </c>
      <c r="Q8" s="12">
        <v>54817286358.391899</v>
      </c>
      <c r="R8" s="12">
        <v>55898760192.629204</v>
      </c>
      <c r="S8" s="12">
        <v>52090762145.946999</v>
      </c>
      <c r="T8" s="12">
        <v>51394805225.024002</v>
      </c>
      <c r="U8" s="12">
        <v>51337804931.0411</v>
      </c>
      <c r="V8" s="12">
        <v>50189155633.396599</v>
      </c>
      <c r="W8" s="12">
        <v>50122079966.691902</v>
      </c>
      <c r="X8" s="12">
        <v>49842552678.561401</v>
      </c>
      <c r="Y8" s="12">
        <v>50998893384.828903</v>
      </c>
      <c r="Z8" s="12">
        <v>52766750207.313698</v>
      </c>
      <c r="AA8" s="12">
        <v>54499590874.627502</v>
      </c>
      <c r="AB8" s="12">
        <v>56086115348.75</v>
      </c>
      <c r="AC8" s="12">
        <v>57825641269.215103</v>
      </c>
      <c r="AD8" s="12">
        <v>53019830857.522003</v>
      </c>
      <c r="AE8" s="12">
        <v>59717412023.485001</v>
      </c>
      <c r="AF8" s="12">
        <v>64073470836.977203</v>
      </c>
      <c r="AG8" s="12">
        <v>66483687609.844002</v>
      </c>
      <c r="AH8" s="12">
        <v>69027943227.324402</v>
      </c>
    </row>
    <row r="9" spans="1:34" x14ac:dyDescent="0.35">
      <c r="A9" s="11" t="s">
        <v>36</v>
      </c>
      <c r="B9" s="11" t="s">
        <v>37</v>
      </c>
      <c r="C9" s="12">
        <v>36994071827.202797</v>
      </c>
      <c r="D9" s="12">
        <v>39289750244.661102</v>
      </c>
      <c r="E9" s="12">
        <v>41585644560.508797</v>
      </c>
      <c r="F9" s="12">
        <v>44130510842.874397</v>
      </c>
      <c r="G9" s="12">
        <v>46551440140.742798</v>
      </c>
      <c r="H9" s="12">
        <v>48332548393.003799</v>
      </c>
      <c r="I9" s="12">
        <v>48103809189.838402</v>
      </c>
      <c r="J9" s="12">
        <v>48483456226.778999</v>
      </c>
      <c r="K9" s="12">
        <v>49901675269.469597</v>
      </c>
      <c r="L9" s="12">
        <v>52105958758.2435</v>
      </c>
      <c r="M9" s="12">
        <v>54636588083.957397</v>
      </c>
      <c r="N9" s="12">
        <v>57581226217.421402</v>
      </c>
      <c r="O9" s="12">
        <v>61315329710.646004</v>
      </c>
      <c r="P9" s="12">
        <v>66788144152.885101</v>
      </c>
      <c r="Q9" s="12">
        <v>74013706023.714294</v>
      </c>
      <c r="R9" s="12">
        <v>77983340266.583298</v>
      </c>
      <c r="S9" s="12">
        <v>73690093871.6194</v>
      </c>
      <c r="T9" s="12">
        <v>78694079820.768799</v>
      </c>
      <c r="U9" s="12">
        <v>80710556384.838394</v>
      </c>
      <c r="V9" s="12">
        <v>81977043067.523697</v>
      </c>
      <c r="W9" s="12">
        <v>82553606913.115097</v>
      </c>
      <c r="X9" s="12">
        <v>84789118561.788895</v>
      </c>
      <c r="Y9" s="12">
        <v>89178548717.332397</v>
      </c>
      <c r="Z9" s="12">
        <v>90915584911.697296</v>
      </c>
      <c r="AA9" s="12">
        <v>93529165482.893799</v>
      </c>
      <c r="AB9" s="12">
        <v>97328432250.486893</v>
      </c>
      <c r="AC9" s="12">
        <v>99543529164.308594</v>
      </c>
      <c r="AD9" s="12">
        <v>96969818857.114807</v>
      </c>
      <c r="AE9" s="12">
        <v>102454294896.646</v>
      </c>
      <c r="AF9" s="12">
        <v>103012252413.418</v>
      </c>
      <c r="AG9" s="12">
        <v>105188526684.47</v>
      </c>
      <c r="AH9" s="12">
        <v>107227789781.41299</v>
      </c>
    </row>
    <row r="10" spans="1:34" x14ac:dyDescent="0.35">
      <c r="A10" s="11" t="s">
        <v>38</v>
      </c>
      <c r="B10" s="11" t="s">
        <v>39</v>
      </c>
      <c r="C10" s="12">
        <v>24096823248.3298</v>
      </c>
      <c r="D10" s="12">
        <v>25380578071.3083</v>
      </c>
      <c r="E10" s="12">
        <v>26422998604.283401</v>
      </c>
      <c r="F10" s="12">
        <v>27192863782.393799</v>
      </c>
      <c r="G10" s="12">
        <v>28599098754.726101</v>
      </c>
      <c r="H10" s="12">
        <v>29475325366.133202</v>
      </c>
      <c r="I10" s="12">
        <v>31028087570.953201</v>
      </c>
      <c r="J10" s="12">
        <v>32113425072.019299</v>
      </c>
      <c r="K10" s="12">
        <v>33021812643.961899</v>
      </c>
      <c r="L10" s="12">
        <v>34105781287.8601</v>
      </c>
      <c r="M10" s="12">
        <v>35195471631.584297</v>
      </c>
      <c r="N10" s="12">
        <v>36795465565.473602</v>
      </c>
      <c r="O10" s="12">
        <v>38213609800.392097</v>
      </c>
      <c r="P10" s="12">
        <v>40471568430.375298</v>
      </c>
      <c r="Q10" s="12">
        <v>43360927307.905998</v>
      </c>
      <c r="R10" s="12">
        <v>44823161262.412598</v>
      </c>
      <c r="S10" s="12">
        <v>41420820595.910103</v>
      </c>
      <c r="T10" s="12">
        <v>41881476947.431</v>
      </c>
      <c r="U10" s="12">
        <v>42155984116.072998</v>
      </c>
      <c r="V10" s="12">
        <v>40926910455.605103</v>
      </c>
      <c r="W10" s="12">
        <v>40589764218.781998</v>
      </c>
      <c r="X10" s="12">
        <v>41711191731.429802</v>
      </c>
      <c r="Y10" s="12">
        <v>42709468274.813698</v>
      </c>
      <c r="Z10" s="12">
        <v>44005450729.606003</v>
      </c>
      <c r="AA10" s="12">
        <v>46282469720.828102</v>
      </c>
      <c r="AB10" s="12">
        <v>48309217703.413498</v>
      </c>
      <c r="AC10" s="12">
        <v>50002578162.673401</v>
      </c>
      <c r="AD10" s="12">
        <v>47959972369.989197</v>
      </c>
      <c r="AE10" s="12">
        <v>51996698295.659302</v>
      </c>
      <c r="AF10" s="12">
        <v>53384233078.316399</v>
      </c>
      <c r="AG10" s="12">
        <v>54652553125.664597</v>
      </c>
      <c r="AH10" s="12">
        <v>55598805913.761902</v>
      </c>
    </row>
    <row r="11" spans="1:34" x14ac:dyDescent="0.35">
      <c r="A11" s="11" t="s">
        <v>40</v>
      </c>
      <c r="B11" s="11" t="s">
        <v>41</v>
      </c>
      <c r="C11" s="12">
        <v>763391725887.25195</v>
      </c>
      <c r="D11" s="12">
        <v>781584842222.94495</v>
      </c>
      <c r="E11" s="12">
        <v>803136997375.09497</v>
      </c>
      <c r="F11" s="12">
        <v>824078081163.90906</v>
      </c>
      <c r="G11" s="12">
        <v>853640231891.44495</v>
      </c>
      <c r="H11" s="12">
        <v>890363642200.01904</v>
      </c>
      <c r="I11" s="12">
        <v>929618577227.57495</v>
      </c>
      <c r="J11" s="12">
        <v>977964704474.03101</v>
      </c>
      <c r="K11" s="12">
        <v>1016292009754.13</v>
      </c>
      <c r="L11" s="12">
        <v>1044295490089.67</v>
      </c>
      <c r="M11" s="12">
        <v>1074990358774.14</v>
      </c>
      <c r="N11" s="12">
        <v>1108471271904.22</v>
      </c>
      <c r="O11" s="12">
        <v>1147835587310.1599</v>
      </c>
      <c r="P11" s="12">
        <v>1194247574981.1299</v>
      </c>
      <c r="Q11" s="12">
        <v>1236446314615.4299</v>
      </c>
      <c r="R11" s="12">
        <v>1245931907237.1599</v>
      </c>
      <c r="S11" s="12">
        <v>1198983535018.3401</v>
      </c>
      <c r="T11" s="12">
        <v>1200112046037.6499</v>
      </c>
      <c r="U11" s="12">
        <v>1192432281393.6899</v>
      </c>
      <c r="V11" s="12">
        <v>1158267740898.6899</v>
      </c>
      <c r="W11" s="12">
        <v>1141735527746.3501</v>
      </c>
      <c r="X11" s="12">
        <v>1159095455877.4399</v>
      </c>
      <c r="Y11" s="12">
        <v>1206164777553.1201</v>
      </c>
      <c r="Z11" s="12">
        <v>1241326362266.48</v>
      </c>
      <c r="AA11" s="12">
        <v>1277275696051.0901</v>
      </c>
      <c r="AB11" s="12">
        <v>1307871701701.26</v>
      </c>
      <c r="AC11" s="12">
        <v>1333521400432.6899</v>
      </c>
      <c r="AD11" s="12">
        <v>1187633217292.02</v>
      </c>
      <c r="AE11" s="12">
        <v>1267004457826.9199</v>
      </c>
      <c r="AF11" s="12">
        <v>1347716659731.45</v>
      </c>
      <c r="AG11" s="12">
        <v>1380882052539.27</v>
      </c>
      <c r="AH11" s="12">
        <v>1428595035672.3701</v>
      </c>
    </row>
    <row r="12" spans="1:34" x14ac:dyDescent="0.35">
      <c r="A12" s="11" t="s">
        <v>42</v>
      </c>
      <c r="B12" s="11" t="s">
        <v>43</v>
      </c>
      <c r="C12" s="12">
        <v>10020459081.6078</v>
      </c>
      <c r="D12" s="12">
        <v>9855880594.3640499</v>
      </c>
      <c r="E12" s="12">
        <v>10302024946.6889</v>
      </c>
      <c r="F12" s="12">
        <v>10811255302.9678</v>
      </c>
      <c r="G12" s="12">
        <v>12222126358.4524</v>
      </c>
      <c r="H12" s="12">
        <v>12752545572.922199</v>
      </c>
      <c r="I12" s="12">
        <v>12698344018.6504</v>
      </c>
      <c r="J12" s="12">
        <v>13979307068.9028</v>
      </c>
      <c r="K12" s="12">
        <v>14801394595.5546</v>
      </c>
      <c r="L12" s="12">
        <v>15827575405.1485</v>
      </c>
      <c r="M12" s="12">
        <v>17029885802.180599</v>
      </c>
      <c r="N12" s="12">
        <v>18188037434.550201</v>
      </c>
      <c r="O12" s="12">
        <v>19920094036.359798</v>
      </c>
      <c r="P12" s="12">
        <v>21864807422.090099</v>
      </c>
      <c r="Q12" s="12">
        <v>23520174236.2883</v>
      </c>
      <c r="R12" s="12">
        <v>22314692031.201401</v>
      </c>
      <c r="S12" s="12">
        <v>19050002927.298302</v>
      </c>
      <c r="T12" s="12">
        <v>19516680413.328999</v>
      </c>
      <c r="U12" s="12">
        <v>21001309333.012901</v>
      </c>
      <c r="V12" s="12">
        <v>21772481344.230099</v>
      </c>
      <c r="W12" s="12">
        <v>22154913628.324402</v>
      </c>
      <c r="X12" s="12">
        <v>22891074856.693802</v>
      </c>
      <c r="Y12" s="12">
        <v>23311847750.9394</v>
      </c>
      <c r="Z12" s="12">
        <v>24032887679.5037</v>
      </c>
      <c r="AA12" s="12">
        <v>25387062190.046799</v>
      </c>
      <c r="AB12" s="12">
        <v>26326306710.8582</v>
      </c>
      <c r="AC12" s="12">
        <v>27307395871.0676</v>
      </c>
      <c r="AD12" s="12">
        <v>26519903136.8312</v>
      </c>
      <c r="AE12" s="12">
        <v>28709089435.118698</v>
      </c>
      <c r="AF12" s="12">
        <v>28357067289.115501</v>
      </c>
      <c r="AG12" s="12">
        <v>27578887219.405102</v>
      </c>
      <c r="AH12" s="12">
        <v>27554054399.259102</v>
      </c>
    </row>
    <row r="13" spans="1:34" x14ac:dyDescent="0.35">
      <c r="A13" s="11" t="s">
        <v>44</v>
      </c>
      <c r="B13" s="11" t="s">
        <v>45</v>
      </c>
      <c r="C13" s="12">
        <v>140887056302.517</v>
      </c>
      <c r="D13" s="12">
        <v>146472344493.79999</v>
      </c>
      <c r="E13" s="12">
        <v>152674521262.38501</v>
      </c>
      <c r="F13" s="12">
        <v>158266465561.96899</v>
      </c>
      <c r="G13" s="12">
        <v>168391880311.83801</v>
      </c>
      <c r="H13" s="12">
        <v>177576428488.63501</v>
      </c>
      <c r="I13" s="12">
        <v>185370756398.689</v>
      </c>
      <c r="J13" s="12">
        <v>196036503503.62299</v>
      </c>
      <c r="K13" s="12">
        <v>201212380923.48499</v>
      </c>
      <c r="L13" s="12">
        <v>204607490634.56601</v>
      </c>
      <c r="M13" s="12">
        <v>208723783982.573</v>
      </c>
      <c r="N13" s="12">
        <v>217083963685.375</v>
      </c>
      <c r="O13" s="12">
        <v>223113056548.362</v>
      </c>
      <c r="P13" s="12">
        <v>232081249320.45901</v>
      </c>
      <c r="Q13" s="12">
        <v>244411266035.09601</v>
      </c>
      <c r="R13" s="12">
        <v>246328504349.487</v>
      </c>
      <c r="S13" s="12">
        <v>226434937568.65302</v>
      </c>
      <c r="T13" s="12">
        <v>233609048324.55301</v>
      </c>
      <c r="U13" s="12">
        <v>239193226293.28</v>
      </c>
      <c r="V13" s="12">
        <v>235550695854.07101</v>
      </c>
      <c r="W13" s="12">
        <v>233242909052.23401</v>
      </c>
      <c r="X13" s="12">
        <v>232127848351.009</v>
      </c>
      <c r="Y13" s="12">
        <v>233210733506.25</v>
      </c>
      <c r="Z13" s="12">
        <v>239208760000.401</v>
      </c>
      <c r="AA13" s="12">
        <v>247110710501.52802</v>
      </c>
      <c r="AB13" s="12">
        <v>250058685918.64301</v>
      </c>
      <c r="AC13" s="12">
        <v>253433824168.60001</v>
      </c>
      <c r="AD13" s="12">
        <v>247120696232.09</v>
      </c>
      <c r="AE13" s="12">
        <v>253734502126.39301</v>
      </c>
      <c r="AF13" s="12">
        <v>255670602724.759</v>
      </c>
      <c r="AG13" s="12">
        <v>253269616816.41599</v>
      </c>
      <c r="AH13" s="12">
        <v>254323653957.12</v>
      </c>
    </row>
    <row r="14" spans="1:34" x14ac:dyDescent="0.35">
      <c r="A14" s="11" t="s">
        <v>46</v>
      </c>
      <c r="B14" s="11" t="s">
        <v>47</v>
      </c>
      <c r="C14" s="12">
        <v>1670081815758.79</v>
      </c>
      <c r="D14" s="12">
        <v>1709890902349.4099</v>
      </c>
      <c r="E14" s="12">
        <v>1749300344479.7</v>
      </c>
      <c r="F14" s="12">
        <v>1773739467493.0601</v>
      </c>
      <c r="G14" s="12">
        <v>1818562957062.05</v>
      </c>
      <c r="H14" s="12">
        <v>1881350558837.76</v>
      </c>
      <c r="I14" s="12">
        <v>1945303460549.75</v>
      </c>
      <c r="J14" s="12">
        <v>2025858476151.3701</v>
      </c>
      <c r="K14" s="12">
        <v>2064338989612.96</v>
      </c>
      <c r="L14" s="12">
        <v>2086380974762.6001</v>
      </c>
      <c r="M14" s="12">
        <v>2106573536968.0801</v>
      </c>
      <c r="N14" s="12">
        <v>2166995343501.8899</v>
      </c>
      <c r="O14" s="12">
        <v>2207920477337.3398</v>
      </c>
      <c r="P14" s="12">
        <v>2267844862926.1499</v>
      </c>
      <c r="Q14" s="12">
        <v>2325232266328.6299</v>
      </c>
      <c r="R14" s="12">
        <v>2334072135222.3599</v>
      </c>
      <c r="S14" s="12">
        <v>2268145064848.79</v>
      </c>
      <c r="T14" s="12">
        <v>2313515332182.54</v>
      </c>
      <c r="U14" s="12">
        <v>2369909039106.4302</v>
      </c>
      <c r="V14" s="12">
        <v>2374265767668.0898</v>
      </c>
      <c r="W14" s="12">
        <v>2392826743357.4902</v>
      </c>
      <c r="X14" s="12">
        <v>2416703156974.4102</v>
      </c>
      <c r="Y14" s="12">
        <v>2442483452642.5</v>
      </c>
      <c r="Z14" s="12">
        <v>2463489569347.3101</v>
      </c>
      <c r="AA14" s="12">
        <v>2514819204088.1401</v>
      </c>
      <c r="AB14" s="12">
        <v>2556210832760.02</v>
      </c>
      <c r="AC14" s="12">
        <v>2608036638906.1201</v>
      </c>
      <c r="AD14" s="12">
        <v>2413981867676.3599</v>
      </c>
      <c r="AE14" s="12">
        <v>2580120255051.75</v>
      </c>
      <c r="AF14" s="12">
        <v>2650215998256.0298</v>
      </c>
      <c r="AG14" s="12">
        <v>2688358302961.2202</v>
      </c>
      <c r="AH14" s="12">
        <v>2720362347819.8101</v>
      </c>
    </row>
    <row r="15" spans="1:34" x14ac:dyDescent="0.35">
      <c r="A15" s="11" t="s">
        <v>48</v>
      </c>
      <c r="B15" s="11" t="s">
        <v>49</v>
      </c>
      <c r="C15" s="12">
        <v>160827443641.56601</v>
      </c>
      <c r="D15" s="12">
        <v>164043992268.73001</v>
      </c>
      <c r="E15" s="12">
        <v>167488456016.048</v>
      </c>
      <c r="F15" s="12">
        <v>169803934634.07501</v>
      </c>
      <c r="G15" s="12">
        <v>175921772178.59201</v>
      </c>
      <c r="H15" s="12">
        <v>181968090540.634</v>
      </c>
      <c r="I15" s="12">
        <v>186806231970.76199</v>
      </c>
      <c r="J15" s="12">
        <v>194535950663.83099</v>
      </c>
      <c r="K15" s="12">
        <v>203582678904.89899</v>
      </c>
      <c r="L15" s="12">
        <v>213116735217.242</v>
      </c>
      <c r="M15" s="12">
        <v>225470734593.33401</v>
      </c>
      <c r="N15" s="12">
        <v>237596249349.01401</v>
      </c>
      <c r="O15" s="12">
        <v>240408216059.142</v>
      </c>
      <c r="P15" s="12">
        <v>255898673342.69901</v>
      </c>
      <c r="Q15" s="12">
        <v>264872706550.759</v>
      </c>
      <c r="R15" s="12">
        <v>265024939553.215</v>
      </c>
      <c r="S15" s="12">
        <v>254107830646.22101</v>
      </c>
      <c r="T15" s="12">
        <v>239639588360.14099</v>
      </c>
      <c r="U15" s="12">
        <v>215970916413.20401</v>
      </c>
      <c r="V15" s="12">
        <v>197978089510.09299</v>
      </c>
      <c r="W15" s="12">
        <v>193479795684.276</v>
      </c>
      <c r="X15" s="12">
        <v>195012591113.58701</v>
      </c>
      <c r="Y15" s="12">
        <v>194567373678.099</v>
      </c>
      <c r="Z15" s="12">
        <v>194505511433.34299</v>
      </c>
      <c r="AA15" s="12">
        <v>197370820217.69199</v>
      </c>
      <c r="AB15" s="12">
        <v>201445880434.67001</v>
      </c>
      <c r="AC15" s="12">
        <v>206033167050.89499</v>
      </c>
      <c r="AD15" s="12">
        <v>187085880047.73801</v>
      </c>
      <c r="AE15" s="12">
        <v>203277223532.871</v>
      </c>
      <c r="AF15" s="12">
        <v>214502162962.97198</v>
      </c>
      <c r="AG15" s="12">
        <v>219083738943.271</v>
      </c>
      <c r="AH15" s="12">
        <v>223655084018.92401</v>
      </c>
    </row>
    <row r="16" spans="1:34" x14ac:dyDescent="0.35">
      <c r="A16" s="11" t="s">
        <v>50</v>
      </c>
      <c r="B16" s="11" t="s">
        <v>51</v>
      </c>
      <c r="C16" s="12">
        <v>89164687696.489197</v>
      </c>
      <c r="D16" s="12">
        <v>94296853730.836197</v>
      </c>
      <c r="E16" s="12">
        <v>103381809953.759</v>
      </c>
      <c r="F16" s="12">
        <v>111010999492.64101</v>
      </c>
      <c r="G16" s="12">
        <v>123246371072.28101</v>
      </c>
      <c r="H16" s="12">
        <v>134050299130.92799</v>
      </c>
      <c r="I16" s="12">
        <v>148165642333.121</v>
      </c>
      <c r="J16" s="12">
        <v>162098435201.64999</v>
      </c>
      <c r="K16" s="12">
        <v>170699088560.51199</v>
      </c>
      <c r="L16" s="12">
        <v>180769250950.138</v>
      </c>
      <c r="M16" s="12">
        <v>186217344582.05499</v>
      </c>
      <c r="N16" s="12">
        <v>198858038461.92099</v>
      </c>
      <c r="O16" s="12">
        <v>210272056411.31699</v>
      </c>
      <c r="P16" s="12">
        <v>220760118842.237</v>
      </c>
      <c r="Q16" s="12">
        <v>232482742331.81799</v>
      </c>
      <c r="R16" s="12">
        <v>222058051543.62799</v>
      </c>
      <c r="S16" s="12">
        <v>210742455593.37799</v>
      </c>
      <c r="T16" s="12">
        <v>214289191596.52301</v>
      </c>
      <c r="U16" s="12">
        <v>217736818590.03201</v>
      </c>
      <c r="V16" s="12">
        <v>216854920423.995</v>
      </c>
      <c r="W16" s="12">
        <v>221610413457.216</v>
      </c>
      <c r="X16" s="12">
        <v>242410308909.29199</v>
      </c>
      <c r="Y16" s="12">
        <v>302101388556.271</v>
      </c>
      <c r="Z16" s="12">
        <v>305795232417.14502</v>
      </c>
      <c r="AA16" s="12">
        <v>336707637029.95502</v>
      </c>
      <c r="AB16" s="12">
        <v>362595940328.69299</v>
      </c>
      <c r="AC16" s="12">
        <v>380627401462.69299</v>
      </c>
      <c r="AD16" s="12">
        <v>407856325068.06299</v>
      </c>
      <c r="AE16" s="12">
        <v>474166373639.89697</v>
      </c>
      <c r="AF16" s="12">
        <v>509781668505.94202</v>
      </c>
      <c r="AG16" s="12">
        <v>496851698334.41803</v>
      </c>
      <c r="AH16" s="12">
        <v>509767195342.461</v>
      </c>
    </row>
    <row r="17" spans="1:34" x14ac:dyDescent="0.35">
      <c r="A17" s="11" t="s">
        <v>52</v>
      </c>
      <c r="B17" s="11" t="s">
        <v>53</v>
      </c>
      <c r="C17" s="12">
        <v>1590576776647.73</v>
      </c>
      <c r="D17" s="12">
        <v>1624790459614.8501</v>
      </c>
      <c r="E17" s="12">
        <v>1671695507214.02</v>
      </c>
      <c r="F17" s="12">
        <v>1694189587392.1001</v>
      </c>
      <c r="G17" s="12">
        <v>1726814955886.6399</v>
      </c>
      <c r="H17" s="12">
        <v>1757973143577.8799</v>
      </c>
      <c r="I17" s="12">
        <v>1787471784895.8401</v>
      </c>
      <c r="J17" s="12">
        <v>1856863206512.55</v>
      </c>
      <c r="K17" s="12">
        <v>1894119928193.3401</v>
      </c>
      <c r="L17" s="12">
        <v>1899232719747.26</v>
      </c>
      <c r="M17" s="12">
        <v>1900496731461.6201</v>
      </c>
      <c r="N17" s="12">
        <v>1928510465814.1599</v>
      </c>
      <c r="O17" s="12">
        <v>1943213635518.5</v>
      </c>
      <c r="P17" s="12">
        <v>1978181374737.8799</v>
      </c>
      <c r="Q17" s="12">
        <v>2007108163772.48</v>
      </c>
      <c r="R17" s="12">
        <v>1986572667176.02</v>
      </c>
      <c r="S17" s="12">
        <v>1881181927615.29</v>
      </c>
      <c r="T17" s="12">
        <v>1909947188308.6599</v>
      </c>
      <c r="U17" s="12">
        <v>1923230167272.6101</v>
      </c>
      <c r="V17" s="12">
        <v>1863124632394.25</v>
      </c>
      <c r="W17" s="12">
        <v>1829252558793.3401</v>
      </c>
      <c r="X17" s="12">
        <v>1829227175768.29</v>
      </c>
      <c r="Y17" s="12">
        <v>1845428048839.1001</v>
      </c>
      <c r="Z17" s="12">
        <v>1868241619489.51</v>
      </c>
      <c r="AA17" s="12">
        <v>1898202609462.0801</v>
      </c>
      <c r="AB17" s="12">
        <v>1913894038926.8301</v>
      </c>
      <c r="AC17" s="12">
        <v>1922107755078.1599</v>
      </c>
      <c r="AD17" s="12">
        <v>1751650987235.4299</v>
      </c>
      <c r="AE17" s="12">
        <v>1908092024820.8301</v>
      </c>
      <c r="AF17" s="12">
        <v>2000084512919.5601</v>
      </c>
      <c r="AG17" s="12">
        <v>2019599234310.29</v>
      </c>
      <c r="AH17" s="12">
        <v>2033588532657.24</v>
      </c>
    </row>
    <row r="18" spans="1:34" x14ac:dyDescent="0.35">
      <c r="A18" s="11" t="s">
        <v>54</v>
      </c>
      <c r="B18" s="11" t="s">
        <v>55</v>
      </c>
      <c r="C18" s="12">
        <v>11444375037.4223</v>
      </c>
      <c r="D18" s="12">
        <v>11694996755.2612</v>
      </c>
      <c r="E18" s="12">
        <v>11584507029.7279</v>
      </c>
      <c r="F18" s="12">
        <v>11850946177.858801</v>
      </c>
      <c r="G18" s="12">
        <v>12937852902.7127</v>
      </c>
      <c r="H18" s="12">
        <v>13785282610.378201</v>
      </c>
      <c r="I18" s="12">
        <v>14173807644.0021</v>
      </c>
      <c r="J18" s="12">
        <v>15001703493.709999</v>
      </c>
      <c r="K18" s="12">
        <v>15970900289.345301</v>
      </c>
      <c r="L18" s="12">
        <v>17195147700.318501</v>
      </c>
      <c r="M18" s="12">
        <v>18644549495.687302</v>
      </c>
      <c r="N18" s="12">
        <v>20271313178.691601</v>
      </c>
      <c r="O18" s="12">
        <v>22625890637.930302</v>
      </c>
      <c r="P18" s="12">
        <v>25527665150.266102</v>
      </c>
      <c r="Q18" s="12">
        <v>28186253353.868198</v>
      </c>
      <c r="R18" s="12">
        <v>27231101091.058701</v>
      </c>
      <c r="S18" s="12">
        <v>22863227157.463699</v>
      </c>
      <c r="T18" s="12">
        <v>22026145287.941502</v>
      </c>
      <c r="U18" s="12">
        <v>22694935010.910702</v>
      </c>
      <c r="V18" s="12">
        <v>24352854611.118801</v>
      </c>
      <c r="W18" s="12">
        <v>24863312429.905499</v>
      </c>
      <c r="X18" s="12">
        <v>25384188823.063999</v>
      </c>
      <c r="Y18" s="12">
        <v>26344565876.890202</v>
      </c>
      <c r="Z18" s="12">
        <v>27016796481.3321</v>
      </c>
      <c r="AA18" s="12">
        <v>27935083541.205002</v>
      </c>
      <c r="AB18" s="12">
        <v>29139005429.854801</v>
      </c>
      <c r="AC18" s="12">
        <v>29335802338.525902</v>
      </c>
      <c r="AD18" s="12">
        <v>28318076614.1623</v>
      </c>
      <c r="AE18" s="12">
        <v>30284070900.411098</v>
      </c>
      <c r="AF18" s="12">
        <v>30862052747.759602</v>
      </c>
      <c r="AG18" s="12">
        <v>30571453786.1231</v>
      </c>
      <c r="AH18" s="12">
        <v>30557357896.8573</v>
      </c>
    </row>
    <row r="19" spans="1:34" x14ac:dyDescent="0.35">
      <c r="A19" s="11" t="s">
        <v>56</v>
      </c>
      <c r="B19" s="11" t="s">
        <v>57</v>
      </c>
      <c r="C19" s="12">
        <v>19173313427.548801</v>
      </c>
      <c r="D19" s="12">
        <v>17300837660.992699</v>
      </c>
      <c r="E19" s="12">
        <v>17870049092.550201</v>
      </c>
      <c r="F19" s="12">
        <v>18768366411.831299</v>
      </c>
      <c r="G19" s="12">
        <v>20326259134.819199</v>
      </c>
      <c r="H19" s="12">
        <v>21843195078.869301</v>
      </c>
      <c r="I19" s="12">
        <v>21603573442.034901</v>
      </c>
      <c r="J19" s="12">
        <v>22342117970.7075</v>
      </c>
      <c r="K19" s="12">
        <v>23790809196.6404</v>
      </c>
      <c r="L19" s="12">
        <v>25389513378.757</v>
      </c>
      <c r="M19" s="12">
        <v>28068588415.9846</v>
      </c>
      <c r="N19" s="12">
        <v>29893617960.0569</v>
      </c>
      <c r="O19" s="12">
        <v>32204827116.6036</v>
      </c>
      <c r="P19" s="12">
        <v>34586529059.454697</v>
      </c>
      <c r="Q19" s="12">
        <v>38417999935.547501</v>
      </c>
      <c r="R19" s="12">
        <v>39416661070.635902</v>
      </c>
      <c r="S19" s="12">
        <v>33567775753.987301</v>
      </c>
      <c r="T19" s="12">
        <v>33711177146.508999</v>
      </c>
      <c r="U19" s="12">
        <v>35842949499.089699</v>
      </c>
      <c r="V19" s="12">
        <v>37413912227.186501</v>
      </c>
      <c r="W19" s="12">
        <v>38928020774.414703</v>
      </c>
      <c r="X19" s="12">
        <v>40396597406.971397</v>
      </c>
      <c r="Y19" s="12">
        <v>41540954817.203903</v>
      </c>
      <c r="Z19" s="12">
        <v>42650896790.507797</v>
      </c>
      <c r="AA19" s="12">
        <v>44618059836.150299</v>
      </c>
      <c r="AB19" s="12">
        <v>46812540124.592796</v>
      </c>
      <c r="AC19" s="12">
        <v>49002127329.2631</v>
      </c>
      <c r="AD19" s="12">
        <v>49023107998.608902</v>
      </c>
      <c r="AE19" s="12">
        <v>52150790162.913101</v>
      </c>
      <c r="AF19" s="12">
        <v>53474129886.970596</v>
      </c>
      <c r="AG19" s="12">
        <v>53657151896.427299</v>
      </c>
      <c r="AH19" s="12">
        <v>55144866855.247299</v>
      </c>
    </row>
    <row r="20" spans="1:34" x14ac:dyDescent="0.35">
      <c r="A20" s="11" t="s">
        <v>58</v>
      </c>
      <c r="B20" s="11" t="s">
        <v>59</v>
      </c>
      <c r="C20" s="12">
        <v>29061858948.060299</v>
      </c>
      <c r="D20" s="12">
        <v>30172289819.161201</v>
      </c>
      <c r="E20" s="12">
        <v>30604417413.620399</v>
      </c>
      <c r="F20" s="12">
        <v>31032290274.724201</v>
      </c>
      <c r="G20" s="12">
        <v>32714187913.5681</v>
      </c>
      <c r="H20" s="12">
        <v>34897700608.288498</v>
      </c>
      <c r="I20" s="12">
        <v>37750651094.139</v>
      </c>
      <c r="J20" s="12">
        <v>40369840252.808998</v>
      </c>
      <c r="K20" s="12">
        <v>41610952660.808601</v>
      </c>
      <c r="L20" s="12">
        <v>42953079744.254601</v>
      </c>
      <c r="M20" s="12">
        <v>44078183528.934502</v>
      </c>
      <c r="N20" s="12">
        <v>45943523456.1968</v>
      </c>
      <c r="O20" s="12">
        <v>47084243707.173103</v>
      </c>
      <c r="P20" s="12">
        <v>49917168649.960999</v>
      </c>
      <c r="Q20" s="12">
        <v>53959794029.799202</v>
      </c>
      <c r="R20" s="12">
        <v>53797819880.855698</v>
      </c>
      <c r="S20" s="12">
        <v>52055333192.700401</v>
      </c>
      <c r="T20" s="12">
        <v>54012829512.590103</v>
      </c>
      <c r="U20" s="12">
        <v>54576884709.750397</v>
      </c>
      <c r="V20" s="12">
        <v>55477349891.779198</v>
      </c>
      <c r="W20" s="12">
        <v>57236974872.260597</v>
      </c>
      <c r="X20" s="12">
        <v>58738350400.016899</v>
      </c>
      <c r="Y20" s="12">
        <v>60071584216.137497</v>
      </c>
      <c r="Z20" s="12">
        <v>63062061883.629997</v>
      </c>
      <c r="AA20" s="12">
        <v>63892707251.430496</v>
      </c>
      <c r="AB20" s="12">
        <v>64922207640.6436</v>
      </c>
      <c r="AC20" s="12">
        <v>66707126419.2733</v>
      </c>
      <c r="AD20" s="12">
        <v>66366885630.950798</v>
      </c>
      <c r="AE20" s="12">
        <v>70965934440.767395</v>
      </c>
      <c r="AF20" s="12">
        <v>70187142285.231598</v>
      </c>
      <c r="AG20" s="12">
        <v>70256936375.558197</v>
      </c>
      <c r="AH20" s="12">
        <v>70508886559.213806</v>
      </c>
    </row>
    <row r="21" spans="1:34" x14ac:dyDescent="0.35">
      <c r="A21" s="11" t="s">
        <v>60</v>
      </c>
      <c r="B21" s="11" t="s">
        <v>61</v>
      </c>
      <c r="C21" s="12">
        <v>4144241960.40099</v>
      </c>
      <c r="D21" s="12">
        <v>4378437387.41224</v>
      </c>
      <c r="E21" s="12">
        <v>4656139454.1657104</v>
      </c>
      <c r="F21" s="12">
        <v>4832017470.4586697</v>
      </c>
      <c r="G21" s="12">
        <v>5086035706.6614304</v>
      </c>
      <c r="H21" s="12">
        <v>5346725602.2610197</v>
      </c>
      <c r="I21" s="12">
        <v>5599089764.8863001</v>
      </c>
      <c r="J21" s="12">
        <v>6701061697.4633398</v>
      </c>
      <c r="K21" s="12">
        <v>6650321051.9369001</v>
      </c>
      <c r="L21" s="12">
        <v>6832615339.5348301</v>
      </c>
      <c r="M21" s="12">
        <v>7084965036.7089596</v>
      </c>
      <c r="N21" s="12">
        <v>7113825958.5236902</v>
      </c>
      <c r="O21" s="12">
        <v>7318792018.8819103</v>
      </c>
      <c r="P21" s="12">
        <v>7489772865.91576</v>
      </c>
      <c r="Q21" s="12">
        <v>7866987912.4655199</v>
      </c>
      <c r="R21" s="12">
        <v>8213969014.3148298</v>
      </c>
      <c r="S21" s="12">
        <v>8099363633.4333696</v>
      </c>
      <c r="T21" s="12">
        <v>8601309578.8668098</v>
      </c>
      <c r="U21" s="12">
        <v>8686651936.9587307</v>
      </c>
      <c r="V21" s="12">
        <v>9042950074.1878395</v>
      </c>
      <c r="W21" s="12">
        <v>9611962674.4856396</v>
      </c>
      <c r="X21" s="12">
        <v>10345486496.084999</v>
      </c>
      <c r="Y21" s="12">
        <v>11340795042.0881</v>
      </c>
      <c r="Z21" s="12">
        <v>11803273067.559799</v>
      </c>
      <c r="AA21" s="12">
        <v>13334316042.9202</v>
      </c>
      <c r="AB21" s="12">
        <v>14292948664.828199</v>
      </c>
      <c r="AC21" s="12">
        <v>14876823596.302099</v>
      </c>
      <c r="AD21" s="12">
        <v>14362489738.4331</v>
      </c>
      <c r="AE21" s="12">
        <v>16288744391.3981</v>
      </c>
      <c r="AF21" s="12">
        <v>16693210193.343399</v>
      </c>
      <c r="AG21" s="12">
        <v>18466282602.650799</v>
      </c>
      <c r="AH21" s="12">
        <v>19721971907.751301</v>
      </c>
    </row>
    <row r="22" spans="1:34" x14ac:dyDescent="0.35">
      <c r="A22" s="11" t="s">
        <v>62</v>
      </c>
      <c r="B22" s="11" t="s">
        <v>63</v>
      </c>
      <c r="C22" s="12">
        <v>493847948232.99701</v>
      </c>
      <c r="D22" s="12">
        <v>508471242744.71698</v>
      </c>
      <c r="E22" s="12">
        <v>524315389158.09802</v>
      </c>
      <c r="F22" s="12">
        <v>542250002539.88202</v>
      </c>
      <c r="G22" s="12">
        <v>565287382969.54395</v>
      </c>
      <c r="H22" s="12">
        <v>591560723040.10706</v>
      </c>
      <c r="I22" s="12">
        <v>621395031368.01099</v>
      </c>
      <c r="J22" s="12">
        <v>647616371669.34497</v>
      </c>
      <c r="K22" s="12">
        <v>662664228363.74097</v>
      </c>
      <c r="L22" s="12">
        <v>664292962005.23706</v>
      </c>
      <c r="M22" s="12">
        <v>664942855515.36206</v>
      </c>
      <c r="N22" s="12">
        <v>678350164553.83801</v>
      </c>
      <c r="O22" s="12">
        <v>692147558366.87097</v>
      </c>
      <c r="P22" s="12">
        <v>716631413729.70496</v>
      </c>
      <c r="Q22" s="12">
        <v>744474740255.86902</v>
      </c>
      <c r="R22" s="12">
        <v>760233900200.23706</v>
      </c>
      <c r="S22" s="12">
        <v>732369119343.41101</v>
      </c>
      <c r="T22" s="12">
        <v>742031413974.44702</v>
      </c>
      <c r="U22" s="12">
        <v>755190192159.83398</v>
      </c>
      <c r="V22" s="12">
        <v>747805361887.68396</v>
      </c>
      <c r="W22" s="12">
        <v>747579281182.56494</v>
      </c>
      <c r="X22" s="12">
        <v>759634819525.58105</v>
      </c>
      <c r="Y22" s="12">
        <v>775743675302.73401</v>
      </c>
      <c r="Z22" s="12">
        <v>794549918521.02197</v>
      </c>
      <c r="AA22" s="12">
        <v>816650691531.91797</v>
      </c>
      <c r="AB22" s="12">
        <v>835096710412.61304</v>
      </c>
      <c r="AC22" s="12">
        <v>854304699526.71899</v>
      </c>
      <c r="AD22" s="12">
        <v>821260592382.70105</v>
      </c>
      <c r="AE22" s="12">
        <v>872809729132.83899</v>
      </c>
      <c r="AF22" s="12">
        <v>916513359459.67102</v>
      </c>
      <c r="AG22" s="12">
        <v>911031728184.77698</v>
      </c>
      <c r="AH22" s="12">
        <v>920880034447.75</v>
      </c>
    </row>
    <row r="23" spans="1:34" x14ac:dyDescent="0.35">
      <c r="A23" s="11" t="s">
        <v>64</v>
      </c>
      <c r="B23" s="11" t="s">
        <v>65</v>
      </c>
      <c r="C23" s="12">
        <v>150567626889.12701</v>
      </c>
      <c r="D23" s="12">
        <v>152020360998.271</v>
      </c>
      <c r="E23" s="12">
        <v>158531058877.056</v>
      </c>
      <c r="F23" s="12">
        <v>164086378007.65799</v>
      </c>
      <c r="G23" s="12">
        <v>171307602359.37799</v>
      </c>
      <c r="H23" s="12">
        <v>179544008821.68701</v>
      </c>
      <c r="I23" s="12">
        <v>186558035204.77802</v>
      </c>
      <c r="J23" s="12">
        <v>193677420299.11499</v>
      </c>
      <c r="K23" s="12">
        <v>197441874347.85999</v>
      </c>
      <c r="L23" s="12">
        <v>198964002685.767</v>
      </c>
      <c r="M23" s="12">
        <v>197112600768.677</v>
      </c>
      <c r="N23" s="12">
        <v>200638423891.103</v>
      </c>
      <c r="O23" s="12">
        <v>202207110531.02301</v>
      </c>
      <c r="P23" s="12">
        <v>205493047516.03799</v>
      </c>
      <c r="Q23" s="12">
        <v>210643893867.297</v>
      </c>
      <c r="R23" s="12">
        <v>211316368904.681</v>
      </c>
      <c r="S23" s="12">
        <v>204718906458.63699</v>
      </c>
      <c r="T23" s="12">
        <v>208276152407.91199</v>
      </c>
      <c r="U23" s="12">
        <v>204707283345.74899</v>
      </c>
      <c r="V23" s="12">
        <v>196414790526.28</v>
      </c>
      <c r="W23" s="12">
        <v>194481859660.11099</v>
      </c>
      <c r="X23" s="12">
        <v>195923731482.46201</v>
      </c>
      <c r="Y23" s="12">
        <v>199038523119.63901</v>
      </c>
      <c r="Z23" s="12">
        <v>203027536357.754</v>
      </c>
      <c r="AA23" s="12">
        <v>209757330876.90601</v>
      </c>
      <c r="AB23" s="12">
        <v>215937376369.16501</v>
      </c>
      <c r="AC23" s="12">
        <v>221866335067.159</v>
      </c>
      <c r="AD23" s="12">
        <v>203663019645.466</v>
      </c>
      <c r="AE23" s="12">
        <v>214984151437.59698</v>
      </c>
      <c r="AF23" s="12">
        <v>230002603240.14301</v>
      </c>
      <c r="AG23" s="12">
        <v>237132635847.46301</v>
      </c>
      <c r="AH23" s="12">
        <v>242206495918.35999</v>
      </c>
    </row>
    <row r="24" spans="1:34" x14ac:dyDescent="0.35">
      <c r="A24" s="11" t="s">
        <v>66</v>
      </c>
      <c r="B24" s="11" t="s">
        <v>67</v>
      </c>
      <c r="C24" s="12">
        <v>10346824232649.6</v>
      </c>
      <c r="D24" s="12">
        <v>10763700132799</v>
      </c>
      <c r="E24" s="12">
        <v>11052644207040.4</v>
      </c>
      <c r="F24" s="12">
        <v>11469635349338.5</v>
      </c>
      <c r="G24" s="12">
        <v>11979704707077.801</v>
      </c>
      <c r="H24" s="12">
        <v>12516770844481.1</v>
      </c>
      <c r="I24" s="12">
        <v>13116127034705.4</v>
      </c>
      <c r="J24" s="12">
        <v>13650948362520</v>
      </c>
      <c r="K24" s="12">
        <v>13781388409036.199</v>
      </c>
      <c r="L24" s="12">
        <v>14015733659783.6</v>
      </c>
      <c r="M24" s="12">
        <v>14407558345762.9</v>
      </c>
      <c r="N24" s="12">
        <v>14961928297813.801</v>
      </c>
      <c r="O24" s="12">
        <v>15483134541390.199</v>
      </c>
      <c r="P24" s="12">
        <v>15914268559668.9</v>
      </c>
      <c r="Q24" s="12">
        <v>16233167950743.9</v>
      </c>
      <c r="R24" s="12">
        <v>16251606759787.801</v>
      </c>
      <c r="S24" s="12">
        <v>15832884074310.801</v>
      </c>
      <c r="T24" s="12">
        <v>16259610790677.1</v>
      </c>
      <c r="U24" s="12">
        <v>16513977256911.199</v>
      </c>
      <c r="V24" s="12">
        <v>16892000920975.5</v>
      </c>
      <c r="W24" s="12">
        <v>17249744800617.5</v>
      </c>
      <c r="X24" s="12">
        <v>17685097277697.801</v>
      </c>
      <c r="Y24" s="12">
        <v>18206020741000</v>
      </c>
      <c r="Z24" s="12">
        <v>18537270454435.602</v>
      </c>
      <c r="AA24" s="12">
        <v>18992846546661.699</v>
      </c>
      <c r="AB24" s="12">
        <v>19556270302218.301</v>
      </c>
      <c r="AC24" s="12">
        <v>20061570168697.602</v>
      </c>
      <c r="AD24" s="12">
        <v>19627632559934.602</v>
      </c>
      <c r="AE24" s="12">
        <v>20816096100824.5</v>
      </c>
      <c r="AF24" s="12">
        <v>21339074561820</v>
      </c>
      <c r="AG24" s="12">
        <v>21955252291273.602</v>
      </c>
      <c r="AH24" s="12">
        <v>22568462768174.301</v>
      </c>
    </row>
    <row r="25" spans="1:34" x14ac:dyDescent="0.35">
      <c r="A25" s="11" t="s">
        <v>68</v>
      </c>
      <c r="B25" s="11" t="s">
        <v>69</v>
      </c>
      <c r="C25" s="12">
        <v>1781335634495.4199</v>
      </c>
      <c r="D25" s="12">
        <v>1869572508479</v>
      </c>
      <c r="E25" s="12">
        <v>1935631814547.4399</v>
      </c>
      <c r="F25" s="12">
        <v>1986246961912.3</v>
      </c>
      <c r="G25" s="12">
        <v>2083175521750.8401</v>
      </c>
      <c r="H25" s="12">
        <v>2150801957623.71</v>
      </c>
      <c r="I25" s="12">
        <v>2214131432953.5</v>
      </c>
      <c r="J25" s="12">
        <v>2314307169243.8799</v>
      </c>
      <c r="K25" s="12">
        <v>2369642769659.0801</v>
      </c>
      <c r="L25" s="12">
        <v>2410140612988.0898</v>
      </c>
      <c r="M25" s="12">
        <v>2487711377293.1602</v>
      </c>
      <c r="N25" s="12">
        <v>2545576004983.02</v>
      </c>
      <c r="O25" s="12">
        <v>2616614241852.8301</v>
      </c>
      <c r="P25" s="12">
        <v>2673913418491.8501</v>
      </c>
      <c r="Q25" s="12">
        <v>2752283449984.5298</v>
      </c>
      <c r="R25" s="12">
        <v>2750923500693.3398</v>
      </c>
      <c r="S25" s="12">
        <v>2624727410659.6401</v>
      </c>
      <c r="T25" s="12">
        <v>2684060544650.5498</v>
      </c>
      <c r="U25" s="12">
        <v>2706913649065.8501</v>
      </c>
      <c r="V25" s="12">
        <v>2748282336997.9702</v>
      </c>
      <c r="W25" s="12">
        <v>2795510733841.0601</v>
      </c>
      <c r="X25" s="12">
        <v>2883853723651.98</v>
      </c>
      <c r="Y25" s="12">
        <v>2945579890258.46</v>
      </c>
      <c r="Z25" s="12">
        <v>3010574705731.2998</v>
      </c>
      <c r="AA25" s="12">
        <v>3101591068534.4902</v>
      </c>
      <c r="AB25" s="12">
        <v>3149707010747.5298</v>
      </c>
      <c r="AC25" s="12">
        <v>3189276748351.1499</v>
      </c>
      <c r="AD25" s="12">
        <v>2868821517197.4102</v>
      </c>
      <c r="AE25" s="12">
        <v>3113908148054.3501</v>
      </c>
      <c r="AF25" s="12">
        <v>3274265196937.1899</v>
      </c>
      <c r="AG25" s="12">
        <v>3283159739927.9502</v>
      </c>
      <c r="AH25" s="12">
        <v>3320141995547.6201</v>
      </c>
    </row>
  </sheetData>
  <mergeCells count="1">
    <mergeCell ref="A1:A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5"/>
  <sheetViews>
    <sheetView zoomScaleNormal="100" workbookViewId="0">
      <pane xSplit="2" ySplit="3" topLeftCell="C4" activePane="bottomRight" state="frozen"/>
      <selection pane="topRight" activeCell="C1" sqref="C1"/>
      <selection pane="bottomLeft" activeCell="A4" sqref="A4"/>
      <selection pane="bottomRight"/>
    </sheetView>
  </sheetViews>
  <sheetFormatPr baseColWidth="10" defaultColWidth="8.6328125" defaultRowHeight="14.5" x14ac:dyDescent="0.35"/>
  <cols>
    <col min="1" max="1" width="9" customWidth="1"/>
    <col min="2" max="2" width="18" customWidth="1"/>
    <col min="3" max="34" width="13" customWidth="1"/>
  </cols>
  <sheetData>
    <row r="1" spans="1:34" ht="18.649999999999999" customHeight="1" x14ac:dyDescent="0.35">
      <c r="A1" s="4" t="s">
        <v>71</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row>
    <row r="3" spans="1:34" x14ac:dyDescent="0.35">
      <c r="A3" s="10" t="s">
        <v>24</v>
      </c>
      <c r="B3" s="10" t="s">
        <v>25</v>
      </c>
      <c r="C3" s="10">
        <v>1993</v>
      </c>
      <c r="D3" s="10">
        <v>1994</v>
      </c>
      <c r="E3" s="10">
        <v>1995</v>
      </c>
      <c r="F3" s="10">
        <v>1996</v>
      </c>
      <c r="G3" s="10">
        <v>1997</v>
      </c>
      <c r="H3" s="10">
        <v>1998</v>
      </c>
      <c r="I3" s="10">
        <v>1999</v>
      </c>
      <c r="J3" s="10">
        <v>2000</v>
      </c>
      <c r="K3" s="10">
        <v>2001</v>
      </c>
      <c r="L3" s="10">
        <v>2002</v>
      </c>
      <c r="M3" s="10">
        <v>2003</v>
      </c>
      <c r="N3" s="10">
        <v>2004</v>
      </c>
      <c r="O3" s="10">
        <v>2005</v>
      </c>
      <c r="P3" s="10">
        <v>2006</v>
      </c>
      <c r="Q3" s="10">
        <v>2007</v>
      </c>
      <c r="R3" s="10">
        <v>2008</v>
      </c>
      <c r="S3" s="10">
        <v>2009</v>
      </c>
      <c r="T3" s="10">
        <v>2010</v>
      </c>
      <c r="U3" s="10">
        <v>2011</v>
      </c>
      <c r="V3" s="10">
        <v>2012</v>
      </c>
      <c r="W3" s="10">
        <v>2013</v>
      </c>
      <c r="X3" s="10">
        <v>2014</v>
      </c>
      <c r="Y3" s="10">
        <v>2015</v>
      </c>
      <c r="Z3" s="10">
        <v>2016</v>
      </c>
      <c r="AA3" s="10">
        <v>2017</v>
      </c>
      <c r="AB3" s="10">
        <v>2018</v>
      </c>
      <c r="AC3" s="10">
        <v>2019</v>
      </c>
      <c r="AD3" s="10">
        <v>2020</v>
      </c>
      <c r="AE3" s="10">
        <v>2021</v>
      </c>
      <c r="AF3" s="10">
        <v>2022</v>
      </c>
      <c r="AG3" s="10">
        <v>2023</v>
      </c>
      <c r="AH3" s="10">
        <v>2024</v>
      </c>
    </row>
    <row r="4" spans="1:34" x14ac:dyDescent="0.35">
      <c r="A4" s="11" t="s">
        <v>26</v>
      </c>
      <c r="B4" s="11" t="s">
        <v>27</v>
      </c>
      <c r="C4" s="13">
        <f>DATOS_PIB!C4/DATOS_PIBPC!C4</f>
        <v>81156363.000000104</v>
      </c>
      <c r="D4" s="13">
        <f>DATOS_PIB!D4/DATOS_PIBPC!D4</f>
        <v>81438347.999999925</v>
      </c>
      <c r="E4" s="13">
        <f>DATOS_PIB!E4/DATOS_PIBPC!E4</f>
        <v>81678051.00000003</v>
      </c>
      <c r="F4" s="13">
        <f>DATOS_PIB!F4/DATOS_PIBPC!F4</f>
        <v>81914831.000000015</v>
      </c>
      <c r="G4" s="13">
        <f>DATOS_PIB!G4/DATOS_PIBPC!G4</f>
        <v>82034771</v>
      </c>
      <c r="H4" s="13">
        <f>DATOS_PIB!H4/DATOS_PIBPC!H4</f>
        <v>82047194.99999994</v>
      </c>
      <c r="I4" s="13">
        <f>DATOS_PIB!I4/DATOS_PIBPC!I4</f>
        <v>82100242.99999997</v>
      </c>
      <c r="J4" s="13">
        <f>DATOS_PIB!J4/DATOS_PIBPC!J4</f>
        <v>82211508.000000224</v>
      </c>
      <c r="K4" s="13">
        <f>DATOS_PIB!K4/DATOS_PIBPC!K4</f>
        <v>82349925.000000224</v>
      </c>
      <c r="L4" s="13">
        <f>DATOS_PIB!L4/DATOS_PIBPC!L4</f>
        <v>82488494.999999955</v>
      </c>
      <c r="M4" s="13">
        <f>DATOS_PIB!M4/DATOS_PIBPC!M4</f>
        <v>82534176.000000015</v>
      </c>
      <c r="N4" s="13">
        <f>DATOS_PIB!N4/DATOS_PIBPC!N4</f>
        <v>82516259.99999994</v>
      </c>
      <c r="O4" s="13">
        <f>DATOS_PIB!O4/DATOS_PIBPC!O4</f>
        <v>82469421.999999911</v>
      </c>
      <c r="P4" s="13">
        <f>DATOS_PIB!P4/DATOS_PIBPC!P4</f>
        <v>82376451.000000089</v>
      </c>
      <c r="Q4" s="13">
        <f>DATOS_PIB!Q4/DATOS_PIBPC!Q4</f>
        <v>82266371.999999955</v>
      </c>
      <c r="R4" s="13">
        <f>DATOS_PIB!R4/DATOS_PIBPC!R4</f>
        <v>82110096.999999985</v>
      </c>
      <c r="S4" s="13">
        <f>DATOS_PIB!S4/DATOS_PIBPC!S4</f>
        <v>81902307.000000179</v>
      </c>
      <c r="T4" s="13">
        <f>DATOS_PIB!T4/DATOS_PIBPC!T4</f>
        <v>81776930.000000015</v>
      </c>
      <c r="U4" s="13">
        <f>DATOS_PIB!U4/DATOS_PIBPC!U4</f>
        <v>80274983.000000015</v>
      </c>
      <c r="V4" s="13">
        <f>DATOS_PIB!V4/DATOS_PIBPC!V4</f>
        <v>80425822.999999925</v>
      </c>
      <c r="W4" s="13">
        <f>DATOS_PIB!W4/DATOS_PIBPC!W4</f>
        <v>80645604.999999985</v>
      </c>
      <c r="X4" s="13">
        <f>DATOS_PIB!X4/DATOS_PIBPC!X4</f>
        <v>80982500.000000045</v>
      </c>
      <c r="Y4" s="13">
        <f>DATOS_PIB!Y4/DATOS_PIBPC!Y4</f>
        <v>81686610.999999881</v>
      </c>
      <c r="Z4" s="13">
        <f>DATOS_PIB!Z4/DATOS_PIBPC!Z4</f>
        <v>82348669</v>
      </c>
      <c r="AA4" s="13">
        <f>DATOS_PIB!AA4/DATOS_PIBPC!AA4</f>
        <v>82657001.999999985</v>
      </c>
      <c r="AB4" s="13">
        <f>DATOS_PIB!AB4/DATOS_PIBPC!AB4</f>
        <v>82905781.999999955</v>
      </c>
      <c r="AC4" s="13">
        <f>DATOS_PIB!AC4/DATOS_PIBPC!AC4</f>
        <v>83092962.000000119</v>
      </c>
      <c r="AD4" s="13">
        <f>DATOS_PIB!AD4/DATOS_PIBPC!AD4</f>
        <v>83160871.000000075</v>
      </c>
      <c r="AE4" s="13">
        <f>DATOS_PIB!AE4/DATOS_PIBPC!AE4</f>
        <v>83196078.000000149</v>
      </c>
      <c r="AF4" s="13">
        <f>DATOS_PIB!AF4/DATOS_PIBPC!AF4</f>
        <v>83177813.000000179</v>
      </c>
      <c r="AG4" s="13">
        <f>DATOS_PIB!AG4/DATOS_PIBPC!AG4</f>
        <v>83287273.000000015</v>
      </c>
      <c r="AH4" s="13">
        <f>DATOS_PIB!AH4/DATOS_PIBPC!AH4</f>
        <v>83516593.000000134</v>
      </c>
    </row>
    <row r="5" spans="1:34" x14ac:dyDescent="0.35">
      <c r="A5" s="11" t="s">
        <v>28</v>
      </c>
      <c r="B5" s="11" t="s">
        <v>29</v>
      </c>
      <c r="C5" s="13">
        <f>DATOS_PIB!C5/DATOS_PIBPC!C5</f>
        <v>7905632.9999999842</v>
      </c>
      <c r="D5" s="13">
        <f>DATOS_PIB!D5/DATOS_PIBPC!D5</f>
        <v>7936117.9999999804</v>
      </c>
      <c r="E5" s="13">
        <f>DATOS_PIB!E5/DATOS_PIBPC!E5</f>
        <v>7948278.0000000112</v>
      </c>
      <c r="F5" s="13">
        <f>DATOS_PIB!F5/DATOS_PIBPC!F5</f>
        <v>7959016.9999999823</v>
      </c>
      <c r="G5" s="13">
        <f>DATOS_PIB!G5/DATOS_PIBPC!G5</f>
        <v>7968040.999999987</v>
      </c>
      <c r="H5" s="13">
        <f>DATOS_PIB!H5/DATOS_PIBPC!H5</f>
        <v>7976788.9999999981</v>
      </c>
      <c r="I5" s="13">
        <f>DATOS_PIB!I5/DATOS_PIBPC!I5</f>
        <v>7992324.0000000065</v>
      </c>
      <c r="J5" s="13">
        <f>DATOS_PIB!J5/DATOS_PIBPC!J5</f>
        <v>8011566.0000000065</v>
      </c>
      <c r="K5" s="13">
        <f>DATOS_PIB!K5/DATOS_PIBPC!K5</f>
        <v>8042293.000000014</v>
      </c>
      <c r="L5" s="13">
        <f>DATOS_PIB!L5/DATOS_PIBPC!L5</f>
        <v>8081957.0000000009</v>
      </c>
      <c r="M5" s="13">
        <f>DATOS_PIB!M5/DATOS_PIBPC!M5</f>
        <v>8121423.0000000168</v>
      </c>
      <c r="N5" s="13">
        <f>DATOS_PIB!N5/DATOS_PIBPC!N5</f>
        <v>8171966.0000000065</v>
      </c>
      <c r="O5" s="13">
        <f>DATOS_PIB!O5/DATOS_PIBPC!O5</f>
        <v>8227828.9999999991</v>
      </c>
      <c r="P5" s="13">
        <f>DATOS_PIB!P5/DATOS_PIBPC!P5</f>
        <v>8268640.9999999851</v>
      </c>
      <c r="Q5" s="13">
        <f>DATOS_PIB!Q5/DATOS_PIBPC!Q5</f>
        <v>8295487.0000000149</v>
      </c>
      <c r="R5" s="13">
        <f>DATOS_PIB!R5/DATOS_PIBPC!R5</f>
        <v>8321495.9999999935</v>
      </c>
      <c r="S5" s="13">
        <f>DATOS_PIB!S5/DATOS_PIBPC!S5</f>
        <v>8343322.9999999907</v>
      </c>
      <c r="T5" s="13">
        <f>DATOS_PIB!T5/DATOS_PIBPC!T5</f>
        <v>8363403.9999999935</v>
      </c>
      <c r="U5" s="13">
        <f>DATOS_PIB!U5/DATOS_PIBPC!U5</f>
        <v>8391643.0000000056</v>
      </c>
      <c r="V5" s="13">
        <f>DATOS_PIB!V5/DATOS_PIBPC!V5</f>
        <v>8429990.9999999944</v>
      </c>
      <c r="W5" s="13">
        <f>DATOS_PIB!W5/DATOS_PIBPC!W5</f>
        <v>8479822.9999999944</v>
      </c>
      <c r="X5" s="13">
        <f>DATOS_PIB!X5/DATOS_PIBPC!X5</f>
        <v>8546355.9999999981</v>
      </c>
      <c r="Y5" s="13">
        <f>DATOS_PIB!Y5/DATOS_PIBPC!Y5</f>
        <v>8642699.0000000056</v>
      </c>
      <c r="Z5" s="13">
        <f>DATOS_PIB!Z5/DATOS_PIBPC!Z5</f>
        <v>8736668.0000000056</v>
      </c>
      <c r="AA5" s="13">
        <f>DATOS_PIB!AA5/DATOS_PIBPC!AA5</f>
        <v>8797566.0000000112</v>
      </c>
      <c r="AB5" s="13">
        <f>DATOS_PIB!AB5/DATOS_PIBPC!AB5</f>
        <v>8840521.0000000112</v>
      </c>
      <c r="AC5" s="13">
        <f>DATOS_PIB!AC5/DATOS_PIBPC!AC5</f>
        <v>8879919.9999999963</v>
      </c>
      <c r="AD5" s="13">
        <f>DATOS_PIB!AD5/DATOS_PIBPC!AD5</f>
        <v>8916864.0000000019</v>
      </c>
      <c r="AE5" s="13">
        <f>DATOS_PIB!AE5/DATOS_PIBPC!AE5</f>
        <v>8955796.9999999851</v>
      </c>
      <c r="AF5" s="13">
        <f>DATOS_PIB!AF5/DATOS_PIBPC!AF5</f>
        <v>9041850.9999999981</v>
      </c>
      <c r="AG5" s="13">
        <f>DATOS_PIB!AG5/DATOS_PIBPC!AG5</f>
        <v>9131761.0000000112</v>
      </c>
      <c r="AH5" s="13">
        <f>DATOS_PIB!AH5/DATOS_PIBPC!AH5</f>
        <v>9177982.0000000168</v>
      </c>
    </row>
    <row r="6" spans="1:34" x14ac:dyDescent="0.35">
      <c r="A6" s="11" t="s">
        <v>30</v>
      </c>
      <c r="B6" s="11" t="s">
        <v>31</v>
      </c>
      <c r="C6" s="13">
        <f>DATOS_PIB!C6/DATOS_PIBPC!C6</f>
        <v>10084475.000000002</v>
      </c>
      <c r="D6" s="13">
        <f>DATOS_PIB!D6/DATOS_PIBPC!D6</f>
        <v>10115602.999999974</v>
      </c>
      <c r="E6" s="13">
        <f>DATOS_PIB!E6/DATOS_PIBPC!E6</f>
        <v>10136810.999999996</v>
      </c>
      <c r="F6" s="13">
        <f>DATOS_PIB!F6/DATOS_PIBPC!F6</f>
        <v>10156636.999999993</v>
      </c>
      <c r="G6" s="13">
        <f>DATOS_PIB!G6/DATOS_PIBPC!G6</f>
        <v>10181244.999999996</v>
      </c>
      <c r="H6" s="13">
        <f>DATOS_PIB!H6/DATOS_PIBPC!H6</f>
        <v>10203007.999999978</v>
      </c>
      <c r="I6" s="13">
        <f>DATOS_PIB!I6/DATOS_PIBPC!I6</f>
        <v>10226418.999999998</v>
      </c>
      <c r="J6" s="13">
        <f>DATOS_PIB!J6/DATOS_PIBPC!J6</f>
        <v>10251249.999999996</v>
      </c>
      <c r="K6" s="13">
        <f>DATOS_PIB!K6/DATOS_PIBPC!K6</f>
        <v>10286570.000000004</v>
      </c>
      <c r="L6" s="13">
        <f>DATOS_PIB!L6/DATOS_PIBPC!L6</f>
        <v>10332784.999999994</v>
      </c>
      <c r="M6" s="13">
        <f>DATOS_PIB!M6/DATOS_PIBPC!M6</f>
        <v>10376133.000000007</v>
      </c>
      <c r="N6" s="13">
        <f>DATOS_PIB!N6/DATOS_PIBPC!N6</f>
        <v>10421137.000000002</v>
      </c>
      <c r="O6" s="13">
        <f>DATOS_PIB!O6/DATOS_PIBPC!O6</f>
        <v>10478616.999999994</v>
      </c>
      <c r="P6" s="13">
        <f>DATOS_PIB!P6/DATOS_PIBPC!P6</f>
        <v>10547958.000000017</v>
      </c>
      <c r="Q6" s="13">
        <f>DATOS_PIB!Q6/DATOS_PIBPC!Q6</f>
        <v>10625700.000000009</v>
      </c>
      <c r="R6" s="13">
        <f>DATOS_PIB!R6/DATOS_PIBPC!R6</f>
        <v>10709973.000000013</v>
      </c>
      <c r="S6" s="13">
        <f>DATOS_PIB!S6/DATOS_PIBPC!S6</f>
        <v>10796493.000000019</v>
      </c>
      <c r="T6" s="13">
        <f>DATOS_PIB!T6/DATOS_PIBPC!T6</f>
        <v>10895585.999999994</v>
      </c>
      <c r="U6" s="13">
        <f>DATOS_PIB!U6/DATOS_PIBPC!U6</f>
        <v>11038264.000000002</v>
      </c>
      <c r="V6" s="13">
        <f>DATOS_PIB!V6/DATOS_PIBPC!V6</f>
        <v>11106931.999999994</v>
      </c>
      <c r="W6" s="13">
        <f>DATOS_PIB!W6/DATOS_PIBPC!W6</f>
        <v>11159407.000000007</v>
      </c>
      <c r="X6" s="13">
        <f>DATOS_PIB!X6/DATOS_PIBPC!X6</f>
        <v>11209057.000000011</v>
      </c>
      <c r="Y6" s="13">
        <f>DATOS_PIB!Y6/DATOS_PIBPC!Y6</f>
        <v>11274196.000000002</v>
      </c>
      <c r="Z6" s="13">
        <f>DATOS_PIB!Z6/DATOS_PIBPC!Z6</f>
        <v>11331422.000000015</v>
      </c>
      <c r="AA6" s="13">
        <f>DATOS_PIB!AA6/DATOS_PIBPC!AA6</f>
        <v>11375157.99999998</v>
      </c>
      <c r="AB6" s="13">
        <f>DATOS_PIB!AB6/DATOS_PIBPC!AB6</f>
        <v>11427054.000000017</v>
      </c>
      <c r="AC6" s="13">
        <f>DATOS_PIB!AC6/DATOS_PIBPC!AC6</f>
        <v>11488980.00000002</v>
      </c>
      <c r="AD6" s="13">
        <f>DATOS_PIB!AD6/DATOS_PIBPC!AD6</f>
        <v>11538603.999999996</v>
      </c>
      <c r="AE6" s="13">
        <f>DATOS_PIB!AE6/DATOS_PIBPC!AE6</f>
        <v>11586195.000000002</v>
      </c>
      <c r="AF6" s="13">
        <f>DATOS_PIB!AF6/DATOS_PIBPC!AF6</f>
        <v>11680210.000000009</v>
      </c>
      <c r="AG6" s="13">
        <f>DATOS_PIB!AG6/DATOS_PIBPC!AG6</f>
        <v>11779945.999999998</v>
      </c>
      <c r="AH6" s="13">
        <f>DATOS_PIB!AH6/DATOS_PIBPC!AH6</f>
        <v>11858609.999999994</v>
      </c>
    </row>
    <row r="7" spans="1:34" x14ac:dyDescent="0.35">
      <c r="A7" s="11" t="s">
        <v>32</v>
      </c>
      <c r="B7" s="11" t="s">
        <v>33</v>
      </c>
      <c r="C7" s="13">
        <f>DATOS_PIB!C7/DATOS_PIBPC!C7</f>
        <v>626087.96713386034</v>
      </c>
      <c r="D7" s="13">
        <f>DATOS_PIB!D7/DATOS_PIBPC!D7</f>
        <v>639171.97344264726</v>
      </c>
      <c r="E7" s="13">
        <f>DATOS_PIB!E7/DATOS_PIBPC!E7</f>
        <v>650866.03219110775</v>
      </c>
      <c r="F7" s="13">
        <f>DATOS_PIB!F7/DATOS_PIBPC!F7</f>
        <v>661322.97691488906</v>
      </c>
      <c r="G7" s="13">
        <f>DATOS_PIB!G7/DATOS_PIBPC!G7</f>
        <v>670763.9769794672</v>
      </c>
      <c r="H7" s="13">
        <f>DATOS_PIB!H7/DATOS_PIBPC!H7</f>
        <v>679039.02455899154</v>
      </c>
      <c r="I7" s="13">
        <f>DATOS_PIB!I7/DATOS_PIBPC!I7</f>
        <v>686680.00962569111</v>
      </c>
      <c r="J7" s="13">
        <f>DATOS_PIB!J7/DATOS_PIBPC!J7</f>
        <v>694023.01666591223</v>
      </c>
      <c r="K7" s="13">
        <f>DATOS_PIB!K7/DATOS_PIBPC!K7</f>
        <v>701544.00692504318</v>
      </c>
      <c r="L7" s="13">
        <f>DATOS_PIB!L7/DATOS_PIBPC!L7</f>
        <v>709629.99011628877</v>
      </c>
      <c r="M7" s="13">
        <f>DATOS_PIB!M7/DATOS_PIBPC!M7</f>
        <v>718307.02674130583</v>
      </c>
      <c r="N7" s="13">
        <f>DATOS_PIB!N7/DATOS_PIBPC!N7</f>
        <v>727980.01039619371</v>
      </c>
      <c r="O7" s="13">
        <f>DATOS_PIB!O7/DATOS_PIBPC!O7</f>
        <v>738539.9892045809</v>
      </c>
      <c r="P7" s="13">
        <f>DATOS_PIB!P7/DATOS_PIBPC!P7</f>
        <v>750964.97621495568</v>
      </c>
      <c r="Q7" s="13">
        <f>DATOS_PIB!Q7/DATOS_PIBPC!Q7</f>
        <v>767125.00411436462</v>
      </c>
      <c r="R7" s="13">
        <f>DATOS_PIB!R7/DATOS_PIBPC!R7</f>
        <v>786631.99256883981</v>
      </c>
      <c r="S7" s="13">
        <f>DATOS_PIB!S7/DATOS_PIBPC!S7</f>
        <v>808035.00225463521</v>
      </c>
      <c r="T7" s="13">
        <f>DATOS_PIB!T7/DATOS_PIBPC!T7</f>
        <v>829446.00409398368</v>
      </c>
      <c r="U7" s="13">
        <f>DATOS_PIB!U7/DATOS_PIBPC!U7</f>
        <v>850881.02590400632</v>
      </c>
      <c r="V7" s="13">
        <f>DATOS_PIB!V7/DATOS_PIBPC!V7</f>
        <v>863944.97757425078</v>
      </c>
      <c r="W7" s="13">
        <f>DATOS_PIB!W7/DATOS_PIBPC!W7</f>
        <v>862955.02519556344</v>
      </c>
      <c r="X7" s="13">
        <f>DATOS_PIB!X7/DATOS_PIBPC!X7</f>
        <v>860438.97723822843</v>
      </c>
      <c r="Y7" s="13">
        <f>DATOS_PIB!Y7/DATOS_PIBPC!Y7</f>
        <v>862304.997836194</v>
      </c>
      <c r="Z7" s="13">
        <f>DATOS_PIB!Z7/DATOS_PIBPC!Z7</f>
        <v>866821.01332314499</v>
      </c>
      <c r="AA7" s="13">
        <f>DATOS_PIB!AA7/DATOS_PIBPC!AA7</f>
        <v>874239.96735570522</v>
      </c>
      <c r="AB7" s="13">
        <f>DATOS_PIB!AB7/DATOS_PIBPC!AB7</f>
        <v>884397.98470512254</v>
      </c>
      <c r="AC7" s="13">
        <f>DATOS_PIB!AC7/DATOS_PIBPC!AC7</f>
        <v>896311.97048738156</v>
      </c>
      <c r="AD7" s="13">
        <f>DATOS_PIB!AD7/DATOS_PIBPC!AD7</f>
        <v>908452.9982004374</v>
      </c>
      <c r="AE7" s="13">
        <f>DATOS_PIB!AE7/DATOS_PIBPC!AE7</f>
        <v>922120.00887834921</v>
      </c>
      <c r="AF7" s="13">
        <f>DATOS_PIB!AF7/DATOS_PIBPC!AF7</f>
        <v>939424.02510254935</v>
      </c>
      <c r="AG7" s="13">
        <f>DATOS_PIB!AG7/DATOS_PIBPC!AG7</f>
        <v>957724.9979423061</v>
      </c>
      <c r="AH7" s="13">
        <f>DATOS_PIB!AH7/DATOS_PIBPC!AH7</f>
        <v>973114.98837593303</v>
      </c>
    </row>
    <row r="8" spans="1:34" x14ac:dyDescent="0.35">
      <c r="A8" s="11" t="s">
        <v>34</v>
      </c>
      <c r="B8" s="11" t="s">
        <v>35</v>
      </c>
      <c r="C8" s="13">
        <f>DATOS_PIB!C8/DATOS_PIBPC!C8</f>
        <v>4600462.9999999963</v>
      </c>
      <c r="D8" s="13">
        <f>DATOS_PIB!D8/DATOS_PIBPC!D8</f>
        <v>4652024.0000000084</v>
      </c>
      <c r="E8" s="13">
        <f>DATOS_PIB!E8/DATOS_PIBPC!E8</f>
        <v>4620030.0000000056</v>
      </c>
      <c r="F8" s="13">
        <f>DATOS_PIB!F8/DATOS_PIBPC!F8</f>
        <v>4557097.0000000009</v>
      </c>
      <c r="G8" s="13">
        <f>DATOS_PIB!G8/DATOS_PIBPC!G8</f>
        <v>4534919.9999999991</v>
      </c>
      <c r="H8" s="13">
        <f>DATOS_PIB!H8/DATOS_PIBPC!H8</f>
        <v>4532134.9999999981</v>
      </c>
      <c r="I8" s="13">
        <f>DATOS_PIB!I8/DATOS_PIBPC!I8</f>
        <v>4512597.0000000037</v>
      </c>
      <c r="J8" s="13">
        <f>DATOS_PIB!J8/DATOS_PIBPC!J8</f>
        <v>4468302.0000000065</v>
      </c>
      <c r="K8" s="13">
        <f>DATOS_PIB!K8/DATOS_PIBPC!K8</f>
        <v>4299642.0000000047</v>
      </c>
      <c r="L8" s="13">
        <f>DATOS_PIB!L8/DATOS_PIBPC!L8</f>
        <v>4302174.0000000214</v>
      </c>
      <c r="M8" s="13">
        <f>DATOS_PIB!M8/DATOS_PIBPC!M8</f>
        <v>4303398.9999999963</v>
      </c>
      <c r="N8" s="13">
        <f>DATOS_PIB!N8/DATOS_PIBPC!N8</f>
        <v>4304600.0000000158</v>
      </c>
      <c r="O8" s="13">
        <f>DATOS_PIB!O8/DATOS_PIBPC!O8</f>
        <v>4310144.9999999898</v>
      </c>
      <c r="P8" s="13">
        <f>DATOS_PIB!P8/DATOS_PIBPC!P8</f>
        <v>4311159.0000000056</v>
      </c>
      <c r="Q8" s="13">
        <f>DATOS_PIB!Q8/DATOS_PIBPC!Q8</f>
        <v>4310216.9999999935</v>
      </c>
      <c r="R8" s="13">
        <f>DATOS_PIB!R8/DATOS_PIBPC!R8</f>
        <v>4309705.0000000121</v>
      </c>
      <c r="S8" s="13">
        <f>DATOS_PIB!S8/DATOS_PIBPC!S8</f>
        <v>4305180.999999987</v>
      </c>
      <c r="T8" s="13">
        <f>DATOS_PIB!T8/DATOS_PIBPC!T8</f>
        <v>4295427.0000000009</v>
      </c>
      <c r="U8" s="13">
        <f>DATOS_PIB!U8/DATOS_PIBPC!U8</f>
        <v>4280622.0000000019</v>
      </c>
      <c r="V8" s="13">
        <f>DATOS_PIB!V8/DATOS_PIBPC!V8</f>
        <v>4260367.9999999814</v>
      </c>
      <c r="W8" s="13">
        <f>DATOS_PIB!W8/DATOS_PIBPC!W8</f>
        <v>4233921.9999999879</v>
      </c>
      <c r="X8" s="13">
        <f>DATOS_PIB!X8/DATOS_PIBPC!X8</f>
        <v>4201597.9999999823</v>
      </c>
      <c r="Y8" s="13">
        <f>DATOS_PIB!Y8/DATOS_PIBPC!Y8</f>
        <v>4151724.9999999963</v>
      </c>
      <c r="Z8" s="13">
        <f>DATOS_PIB!Z8/DATOS_PIBPC!Z8</f>
        <v>4106866.9999999958</v>
      </c>
      <c r="AA8" s="13">
        <f>DATOS_PIB!AA8/DATOS_PIBPC!AA8</f>
        <v>4041407.0000000037</v>
      </c>
      <c r="AB8" s="13">
        <f>DATOS_PIB!AB8/DATOS_PIBPC!AB8</f>
        <v>3988775.000000013</v>
      </c>
      <c r="AC8" s="13">
        <f>DATOS_PIB!AC8/DATOS_PIBPC!AC8</f>
        <v>3949389.9999999916</v>
      </c>
      <c r="AD8" s="13">
        <f>DATOS_PIB!AD8/DATOS_PIBPC!AD8</f>
        <v>3914206.0000000033</v>
      </c>
      <c r="AE8" s="13">
        <f>DATOS_PIB!AE8/DATOS_PIBPC!AE8</f>
        <v>3878980.9999999972</v>
      </c>
      <c r="AF8" s="13">
        <f>DATOS_PIB!AF8/DATOS_PIBPC!AF8</f>
        <v>3855640.9999999958</v>
      </c>
      <c r="AG8" s="13">
        <f>DATOS_PIB!AG8/DATOS_PIBPC!AG8</f>
        <v>3859686.0000000023</v>
      </c>
      <c r="AH8" s="13">
        <f>DATOS_PIB!AH8/DATOS_PIBPC!AH8</f>
        <v>3866200.000000007</v>
      </c>
    </row>
    <row r="9" spans="1:34" x14ac:dyDescent="0.35">
      <c r="A9" s="11" t="s">
        <v>36</v>
      </c>
      <c r="B9" s="11" t="s">
        <v>37</v>
      </c>
      <c r="C9" s="13">
        <f>DATOS_PIB!C9/DATOS_PIBPC!C9</f>
        <v>5325305.0000000028</v>
      </c>
      <c r="D9" s="13">
        <f>DATOS_PIB!D9/DATOS_PIBPC!D9</f>
        <v>5346331.0000000037</v>
      </c>
      <c r="E9" s="13">
        <f>DATOS_PIB!E9/DATOS_PIBPC!E9</f>
        <v>5361999.0000000019</v>
      </c>
      <c r="F9" s="13">
        <f>DATOS_PIB!F9/DATOS_PIBPC!F9</f>
        <v>5373360.9999999981</v>
      </c>
      <c r="G9" s="13">
        <f>DATOS_PIB!G9/DATOS_PIBPC!G9</f>
        <v>5383290.9999999991</v>
      </c>
      <c r="H9" s="13">
        <f>DATOS_PIB!H9/DATOS_PIBPC!H9</f>
        <v>5390515.9999999963</v>
      </c>
      <c r="I9" s="13">
        <f>DATOS_PIB!I9/DATOS_PIBPC!I9</f>
        <v>5396020.0000000028</v>
      </c>
      <c r="J9" s="13">
        <f>DATOS_PIB!J9/DATOS_PIBPC!J9</f>
        <v>5388720.0000000019</v>
      </c>
      <c r="K9" s="13">
        <f>DATOS_PIB!K9/DATOS_PIBPC!K9</f>
        <v>5378866.9999999972</v>
      </c>
      <c r="L9" s="13">
        <f>DATOS_PIB!L9/DATOS_PIBPC!L9</f>
        <v>5376912.0000000037</v>
      </c>
      <c r="M9" s="13">
        <f>DATOS_PIB!M9/DATOS_PIBPC!M9</f>
        <v>5373373.999999987</v>
      </c>
      <c r="N9" s="13">
        <f>DATOS_PIB!N9/DATOS_PIBPC!N9</f>
        <v>5372279.9999999972</v>
      </c>
      <c r="O9" s="13">
        <f>DATOS_PIB!O9/DATOS_PIBPC!O9</f>
        <v>5372806.9999999795</v>
      </c>
      <c r="P9" s="13">
        <f>DATOS_PIB!P9/DATOS_PIBPC!P9</f>
        <v>5373053.9999999823</v>
      </c>
      <c r="Q9" s="13">
        <f>DATOS_PIB!Q9/DATOS_PIBPC!Q9</f>
        <v>5374621.9999999804</v>
      </c>
      <c r="R9" s="13">
        <f>DATOS_PIB!R9/DATOS_PIBPC!R9</f>
        <v>5379232.9999999851</v>
      </c>
      <c r="S9" s="13">
        <f>DATOS_PIB!S9/DATOS_PIBPC!S9</f>
        <v>5386405.9999999804</v>
      </c>
      <c r="T9" s="13">
        <f>DATOS_PIB!T9/DATOS_PIBPC!T9</f>
        <v>5391428.0000000112</v>
      </c>
      <c r="U9" s="13">
        <f>DATOS_PIB!U9/DATOS_PIBPC!U9</f>
        <v>5398383.999999986</v>
      </c>
      <c r="V9" s="13">
        <f>DATOS_PIB!V9/DATOS_PIBPC!V9</f>
        <v>5407578.9999999786</v>
      </c>
      <c r="W9" s="13">
        <f>DATOS_PIB!W9/DATOS_PIBPC!W9</f>
        <v>5413392.9999999925</v>
      </c>
      <c r="X9" s="13">
        <f>DATOS_PIB!X9/DATOS_PIBPC!X9</f>
        <v>5418648.9999999953</v>
      </c>
      <c r="Y9" s="13">
        <f>DATOS_PIB!Y9/DATOS_PIBPC!Y9</f>
        <v>5423800.9999999842</v>
      </c>
      <c r="Z9" s="13">
        <f>DATOS_PIB!Z9/DATOS_PIBPC!Z9</f>
        <v>5430797.9999999981</v>
      </c>
      <c r="AA9" s="13">
        <f>DATOS_PIB!AA9/DATOS_PIBPC!AA9</f>
        <v>5439231.999999987</v>
      </c>
      <c r="AB9" s="13">
        <f>DATOS_PIB!AB9/DATOS_PIBPC!AB9</f>
        <v>5446771.0000000019</v>
      </c>
      <c r="AC9" s="13">
        <f>DATOS_PIB!AC9/DATOS_PIBPC!AC9</f>
        <v>5454146.9999999879</v>
      </c>
      <c r="AD9" s="13">
        <f>DATOS_PIB!AD9/DATOS_PIBPC!AD9</f>
        <v>5458826.9999999944</v>
      </c>
      <c r="AE9" s="13">
        <f>DATOS_PIB!AE9/DATOS_PIBPC!AE9</f>
        <v>5447246.9999999944</v>
      </c>
      <c r="AF9" s="13">
        <f>DATOS_PIB!AF9/DATOS_PIBPC!AF9</f>
        <v>5431751.9999999674</v>
      </c>
      <c r="AG9" s="13">
        <f>DATOS_PIB!AG9/DATOS_PIBPC!AG9</f>
        <v>5426740.0000000168</v>
      </c>
      <c r="AH9" s="13">
        <f>DATOS_PIB!AH9/DATOS_PIBPC!AH9</f>
        <v>5422069.0000000251</v>
      </c>
    </row>
    <row r="10" spans="1:34" x14ac:dyDescent="0.35">
      <c r="A10" s="11" t="s">
        <v>38</v>
      </c>
      <c r="B10" s="11" t="s">
        <v>39</v>
      </c>
      <c r="C10" s="13">
        <f>DATOS_PIB!C10/DATOS_PIBPC!C10</f>
        <v>1991745.9999999986</v>
      </c>
      <c r="D10" s="13">
        <f>DATOS_PIB!D10/DATOS_PIBPC!D10</f>
        <v>1989442.9999999979</v>
      </c>
      <c r="E10" s="13">
        <f>DATOS_PIB!E10/DATOS_PIBPC!E10</f>
        <v>1989872.0000000007</v>
      </c>
      <c r="F10" s="13">
        <f>DATOS_PIB!F10/DATOS_PIBPC!F10</f>
        <v>1988628.0000000093</v>
      </c>
      <c r="G10" s="13">
        <f>DATOS_PIB!G10/DATOS_PIBPC!G10</f>
        <v>1985955.9999999974</v>
      </c>
      <c r="H10" s="13">
        <f>DATOS_PIB!H10/DATOS_PIBPC!H10</f>
        <v>1981629.0000000012</v>
      </c>
      <c r="I10" s="13">
        <f>DATOS_PIB!I10/DATOS_PIBPC!I10</f>
        <v>1983045.0000000014</v>
      </c>
      <c r="J10" s="13">
        <f>DATOS_PIB!J10/DATOS_PIBPC!J10</f>
        <v>1988925.0000000058</v>
      </c>
      <c r="K10" s="13">
        <f>DATOS_PIB!K10/DATOS_PIBPC!K10</f>
        <v>1992059.9999999988</v>
      </c>
      <c r="L10" s="13">
        <f>DATOS_PIB!L10/DATOS_PIBPC!L10</f>
        <v>1994530.0000000028</v>
      </c>
      <c r="M10" s="13">
        <f>DATOS_PIB!M10/DATOS_PIBPC!M10</f>
        <v>1995732.9999999981</v>
      </c>
      <c r="N10" s="13">
        <f>DATOS_PIB!N10/DATOS_PIBPC!N10</f>
        <v>1997012.0000000012</v>
      </c>
      <c r="O10" s="13">
        <f>DATOS_PIB!O10/DATOS_PIBPC!O10</f>
        <v>2000474.0000000037</v>
      </c>
      <c r="P10" s="13">
        <f>DATOS_PIB!P10/DATOS_PIBPC!P10</f>
        <v>2006867.9999999972</v>
      </c>
      <c r="Q10" s="13">
        <f>DATOS_PIB!Q10/DATOS_PIBPC!Q10</f>
        <v>2018121.9999999939</v>
      </c>
      <c r="R10" s="13">
        <f>DATOS_PIB!R10/DATOS_PIBPC!R10</f>
        <v>2021316.0000000005</v>
      </c>
      <c r="S10" s="13">
        <f>DATOS_PIB!S10/DATOS_PIBPC!S10</f>
        <v>2039668.9999999939</v>
      </c>
      <c r="T10" s="13">
        <f>DATOS_PIB!T10/DATOS_PIBPC!T10</f>
        <v>2048583.0000000021</v>
      </c>
      <c r="U10" s="13">
        <f>DATOS_PIB!U10/DATOS_PIBPC!U10</f>
        <v>2052842.9999999984</v>
      </c>
      <c r="V10" s="13">
        <f>DATOS_PIB!V10/DATOS_PIBPC!V10</f>
        <v>2057158.999999997</v>
      </c>
      <c r="W10" s="13">
        <f>DATOS_PIB!W10/DATOS_PIBPC!W10</f>
        <v>2059952.9999999928</v>
      </c>
      <c r="X10" s="13">
        <f>DATOS_PIB!X10/DATOS_PIBPC!X10</f>
        <v>2061979.9999999977</v>
      </c>
      <c r="Y10" s="13">
        <f>DATOS_PIB!Y10/DATOS_PIBPC!Y10</f>
        <v>2063531.0000000012</v>
      </c>
      <c r="Z10" s="13">
        <f>DATOS_PIB!Z10/DATOS_PIBPC!Z10</f>
        <v>2065042.0000000023</v>
      </c>
      <c r="AA10" s="13">
        <f>DATOS_PIB!AA10/DATOS_PIBPC!AA10</f>
        <v>2066387.9999999967</v>
      </c>
      <c r="AB10" s="13">
        <f>DATOS_PIB!AB10/DATOS_PIBPC!AB10</f>
        <v>2073894.0000000051</v>
      </c>
      <c r="AC10" s="13">
        <f>DATOS_PIB!AC10/DATOS_PIBPC!AC10</f>
        <v>2088385.0000000002</v>
      </c>
      <c r="AD10" s="13">
        <f>DATOS_PIB!AD10/DATOS_PIBPC!AD10</f>
        <v>2102419.0000000005</v>
      </c>
      <c r="AE10" s="13">
        <f>DATOS_PIB!AE10/DATOS_PIBPC!AE10</f>
        <v>2108078.9999999981</v>
      </c>
      <c r="AF10" s="13">
        <f>DATOS_PIB!AF10/DATOS_PIBPC!AF10</f>
        <v>2112075.9999999944</v>
      </c>
      <c r="AG10" s="13">
        <f>DATOS_PIB!AG10/DATOS_PIBPC!AG10</f>
        <v>2120460.9999999991</v>
      </c>
      <c r="AH10" s="13">
        <f>DATOS_PIB!AH10/DATOS_PIBPC!AH10</f>
        <v>2127399.9999999986</v>
      </c>
    </row>
    <row r="11" spans="1:34" x14ac:dyDescent="0.35">
      <c r="A11" s="11" t="s">
        <v>40</v>
      </c>
      <c r="B11" s="11" t="s">
        <v>41</v>
      </c>
      <c r="C11" s="13">
        <f>DATOS_PIB!C11/DATOS_PIBPC!C11</f>
        <v>39361262</v>
      </c>
      <c r="D11" s="13">
        <f>DATOS_PIB!D11/DATOS_PIBPC!D11</f>
        <v>39549107.999999896</v>
      </c>
      <c r="E11" s="13">
        <f>DATOS_PIB!E11/DATOS_PIBPC!E11</f>
        <v>39724049.999999881</v>
      </c>
      <c r="F11" s="13">
        <f>DATOS_PIB!F11/DATOS_PIBPC!F11</f>
        <v>39889851.999999948</v>
      </c>
      <c r="G11" s="13">
        <f>DATOS_PIB!G11/DATOS_PIBPC!G11</f>
        <v>40057389.00000006</v>
      </c>
      <c r="H11" s="13">
        <f>DATOS_PIB!H11/DATOS_PIBPC!H11</f>
        <v>40223509.000000015</v>
      </c>
      <c r="I11" s="13">
        <f>DATOS_PIB!I11/DATOS_PIBPC!I11</f>
        <v>40386874.99999997</v>
      </c>
      <c r="J11" s="13">
        <f>DATOS_PIB!J11/DATOS_PIBPC!J11</f>
        <v>40567863.99999994</v>
      </c>
      <c r="K11" s="13">
        <f>DATOS_PIB!K11/DATOS_PIBPC!K11</f>
        <v>40850412.000000142</v>
      </c>
      <c r="L11" s="13">
        <f>DATOS_PIB!L11/DATOS_PIBPC!L11</f>
        <v>41431558.000000142</v>
      </c>
      <c r="M11" s="13">
        <f>DATOS_PIB!M11/DATOS_PIBPC!M11</f>
        <v>42187645.00000006</v>
      </c>
      <c r="N11" s="13">
        <f>DATOS_PIB!N11/DATOS_PIBPC!N11</f>
        <v>42921894.999999888</v>
      </c>
      <c r="O11" s="13">
        <f>DATOS_PIB!O11/DATOS_PIBPC!O11</f>
        <v>43653154.999999814</v>
      </c>
      <c r="P11" s="13">
        <f>DATOS_PIB!P11/DATOS_PIBPC!P11</f>
        <v>44397319.000000052</v>
      </c>
      <c r="Q11" s="13">
        <f>DATOS_PIB!Q11/DATOS_PIBPC!Q11</f>
        <v>45226803.000000007</v>
      </c>
      <c r="R11" s="13">
        <f>DATOS_PIB!R11/DATOS_PIBPC!R11</f>
        <v>45954105.999999911</v>
      </c>
      <c r="S11" s="13">
        <f>DATOS_PIB!S11/DATOS_PIBPC!S11</f>
        <v>46362945.999999911</v>
      </c>
      <c r="T11" s="13">
        <f>DATOS_PIB!T11/DATOS_PIBPC!T11</f>
        <v>46576896.999999993</v>
      </c>
      <c r="U11" s="13">
        <f>DATOS_PIB!U11/DATOS_PIBPC!U11</f>
        <v>46742697.000000149</v>
      </c>
      <c r="V11" s="13">
        <f>DATOS_PIB!V11/DATOS_PIBPC!V11</f>
        <v>46773054.999999784</v>
      </c>
      <c r="W11" s="13">
        <f>DATOS_PIB!W11/DATOS_PIBPC!W11</f>
        <v>46604197.000000037</v>
      </c>
      <c r="X11" s="13">
        <f>DATOS_PIB!X11/DATOS_PIBPC!X11</f>
        <v>46460733.00000006</v>
      </c>
      <c r="Y11" s="13">
        <f>DATOS_PIB!Y11/DATOS_PIBPC!Y11</f>
        <v>46422302.999999754</v>
      </c>
      <c r="Z11" s="13">
        <f>DATOS_PIB!Z11/DATOS_PIBPC!Z11</f>
        <v>46458139.00000003</v>
      </c>
      <c r="AA11" s="13">
        <f>DATOS_PIB!AA11/DATOS_PIBPC!AA11</f>
        <v>46571231.99999994</v>
      </c>
      <c r="AB11" s="13">
        <f>DATOS_PIB!AB11/DATOS_PIBPC!AB11</f>
        <v>46782011.000000231</v>
      </c>
      <c r="AC11" s="13">
        <f>DATOS_PIB!AC11/DATOS_PIBPC!AC11</f>
        <v>47118501.000000075</v>
      </c>
      <c r="AD11" s="13">
        <f>DATOS_PIB!AD11/DATOS_PIBPC!AD11</f>
        <v>47359424.000000097</v>
      </c>
      <c r="AE11" s="13">
        <f>DATOS_PIB!AE11/DATOS_PIBPC!AE11</f>
        <v>47443821.000000164</v>
      </c>
      <c r="AF11" s="13">
        <f>DATOS_PIB!AF11/DATOS_PIBPC!AF11</f>
        <v>47786101.999999955</v>
      </c>
      <c r="AG11" s="13">
        <f>DATOS_PIB!AG11/DATOS_PIBPC!AG11</f>
        <v>48352528.000000097</v>
      </c>
      <c r="AH11" s="13">
        <f>DATOS_PIB!AH11/DATOS_PIBPC!AH11</f>
        <v>48848839.999999776</v>
      </c>
    </row>
    <row r="12" spans="1:34" x14ac:dyDescent="0.35">
      <c r="A12" s="11" t="s">
        <v>42</v>
      </c>
      <c r="B12" s="11" t="s">
        <v>43</v>
      </c>
      <c r="C12" s="13">
        <f>DATOS_PIB!C12/DATOS_PIBPC!C12</f>
        <v>1494128.0000000026</v>
      </c>
      <c r="D12" s="13">
        <f>DATOS_PIB!D12/DATOS_PIBPC!D12</f>
        <v>1462514</v>
      </c>
      <c r="E12" s="13">
        <f>DATOS_PIB!E12/DATOS_PIBPC!E12</f>
        <v>1436633.9999999965</v>
      </c>
      <c r="F12" s="13">
        <f>DATOS_PIB!F12/DATOS_PIBPC!F12</f>
        <v>1415594.0000000065</v>
      </c>
      <c r="G12" s="13">
        <f>DATOS_PIB!G12/DATOS_PIBPC!G12</f>
        <v>1399534.9999999988</v>
      </c>
      <c r="H12" s="13">
        <f>DATOS_PIB!H12/DATOS_PIBPC!H12</f>
        <v>1386155.9999999979</v>
      </c>
      <c r="I12" s="13">
        <f>DATOS_PIB!I12/DATOS_PIBPC!I12</f>
        <v>1390244.0000000007</v>
      </c>
      <c r="J12" s="13">
        <f>DATOS_PIB!J12/DATOS_PIBPC!J12</f>
        <v>1396985.0000000042</v>
      </c>
      <c r="K12" s="13">
        <f>DATOS_PIB!K12/DATOS_PIBPC!K12</f>
        <v>1388114.9999999928</v>
      </c>
      <c r="L12" s="13">
        <f>DATOS_PIB!L12/DATOS_PIBPC!L12</f>
        <v>1379350.0000000047</v>
      </c>
      <c r="M12" s="13">
        <f>DATOS_PIB!M12/DATOS_PIBPC!M12</f>
        <v>1370720.000000007</v>
      </c>
      <c r="N12" s="13">
        <f>DATOS_PIB!N12/DATOS_PIBPC!N12</f>
        <v>1362549.9999999991</v>
      </c>
      <c r="O12" s="13">
        <f>DATOS_PIB!O12/DATOS_PIBPC!O12</f>
        <v>1354774.9999999986</v>
      </c>
      <c r="P12" s="13">
        <f>DATOS_PIB!P12/DATOS_PIBPC!P12</f>
        <v>1346810.0000000009</v>
      </c>
      <c r="Q12" s="13">
        <f>DATOS_PIB!Q12/DATOS_PIBPC!Q12</f>
        <v>1340679.9999999993</v>
      </c>
      <c r="R12" s="13">
        <f>DATOS_PIB!R12/DATOS_PIBPC!R12</f>
        <v>1337089.9999999951</v>
      </c>
      <c r="S12" s="13">
        <f>DATOS_PIB!S12/DATOS_PIBPC!S12</f>
        <v>1334514.9999999963</v>
      </c>
      <c r="T12" s="13">
        <f>DATOS_PIB!T12/DATOS_PIBPC!T12</f>
        <v>1331474.9999999974</v>
      </c>
      <c r="U12" s="13">
        <f>DATOS_PIB!U12/DATOS_PIBPC!U12</f>
        <v>1327438.9999999979</v>
      </c>
      <c r="V12" s="13">
        <f>DATOS_PIB!V12/DATOS_PIBPC!V12</f>
        <v>1322696.0000000016</v>
      </c>
      <c r="W12" s="13">
        <f>DATOS_PIB!W12/DATOS_PIBPC!W12</f>
        <v>1317997.0000000044</v>
      </c>
      <c r="X12" s="13">
        <f>DATOS_PIB!X12/DATOS_PIBPC!X12</f>
        <v>1314544.9999999949</v>
      </c>
      <c r="Y12" s="13">
        <f>DATOS_PIB!Y12/DATOS_PIBPC!Y12</f>
        <v>1315406.9999999986</v>
      </c>
      <c r="Z12" s="13">
        <f>DATOS_PIB!Z12/DATOS_PIBPC!Z12</f>
        <v>1315789.9999999986</v>
      </c>
      <c r="AA12" s="13">
        <f>DATOS_PIB!AA12/DATOS_PIBPC!AA12</f>
        <v>1317384.0000000009</v>
      </c>
      <c r="AB12" s="13">
        <f>DATOS_PIB!AB12/DATOS_PIBPC!AB12</f>
        <v>1321977.0000000026</v>
      </c>
      <c r="AC12" s="13">
        <f>DATOS_PIB!AC12/DATOS_PIBPC!AC12</f>
        <v>1326897.9999999988</v>
      </c>
      <c r="AD12" s="13">
        <f>DATOS_PIB!AD12/DATOS_PIBPC!AD12</f>
        <v>1329521.9999999988</v>
      </c>
      <c r="AE12" s="13">
        <f>DATOS_PIB!AE12/DATOS_PIBPC!AE12</f>
        <v>1330932.0000000009</v>
      </c>
      <c r="AF12" s="13">
        <f>DATOS_PIB!AF12/DATOS_PIBPC!AF12</f>
        <v>1348840.0000000005</v>
      </c>
      <c r="AG12" s="13">
        <f>DATOS_PIB!AG12/DATOS_PIBPC!AG12</f>
        <v>1370286.0000000033</v>
      </c>
      <c r="AH12" s="13">
        <f>DATOS_PIB!AH12/DATOS_PIBPC!AH12</f>
        <v>1372340.9999999993</v>
      </c>
    </row>
    <row r="13" spans="1:34" x14ac:dyDescent="0.35">
      <c r="A13" s="11" t="s">
        <v>44</v>
      </c>
      <c r="B13" s="11" t="s">
        <v>45</v>
      </c>
      <c r="C13" s="13">
        <f>DATOS_PIB!C13/DATOS_PIBPC!C13</f>
        <v>5066447.0000000037</v>
      </c>
      <c r="D13" s="13">
        <f>DATOS_PIB!D13/DATOS_PIBPC!D13</f>
        <v>5088332.9999999907</v>
      </c>
      <c r="E13" s="13">
        <f>DATOS_PIB!E13/DATOS_PIBPC!E13</f>
        <v>5107790.000000014</v>
      </c>
      <c r="F13" s="13">
        <f>DATOS_PIB!F13/DATOS_PIBPC!F13</f>
        <v>5124572.9999999991</v>
      </c>
      <c r="G13" s="13">
        <f>DATOS_PIB!G13/DATOS_PIBPC!G13</f>
        <v>5139834.9999999916</v>
      </c>
      <c r="H13" s="13">
        <f>DATOS_PIB!H13/DATOS_PIBPC!H13</f>
        <v>5153498.0000000047</v>
      </c>
      <c r="I13" s="13">
        <f>DATOS_PIB!I13/DATOS_PIBPC!I13</f>
        <v>5165473.999999987</v>
      </c>
      <c r="J13" s="13">
        <f>DATOS_PIB!J13/DATOS_PIBPC!J13</f>
        <v>5176209.0000000037</v>
      </c>
      <c r="K13" s="13">
        <f>DATOS_PIB!K13/DATOS_PIBPC!K13</f>
        <v>5188007.9999999963</v>
      </c>
      <c r="L13" s="13">
        <f>DATOS_PIB!L13/DATOS_PIBPC!L13</f>
        <v>5200597.9999999981</v>
      </c>
      <c r="M13" s="13">
        <f>DATOS_PIB!M13/DATOS_PIBPC!M13</f>
        <v>5213014.0000000102</v>
      </c>
      <c r="N13" s="13">
        <f>DATOS_PIB!N13/DATOS_PIBPC!N13</f>
        <v>5228172.0000000019</v>
      </c>
      <c r="O13" s="13">
        <f>DATOS_PIB!O13/DATOS_PIBPC!O13</f>
        <v>5246095.9999999953</v>
      </c>
      <c r="P13" s="13">
        <f>DATOS_PIB!P13/DATOS_PIBPC!P13</f>
        <v>5266268.0000000065</v>
      </c>
      <c r="Q13" s="13">
        <f>DATOS_PIB!Q13/DATOS_PIBPC!Q13</f>
        <v>5288720.0000000009</v>
      </c>
      <c r="R13" s="13">
        <f>DATOS_PIB!R13/DATOS_PIBPC!R13</f>
        <v>5313399.0000000028</v>
      </c>
      <c r="S13" s="13">
        <f>DATOS_PIB!S13/DATOS_PIBPC!S13</f>
        <v>5338870.9999999888</v>
      </c>
      <c r="T13" s="13">
        <f>DATOS_PIB!T13/DATOS_PIBPC!T13</f>
        <v>5363352.0000000019</v>
      </c>
      <c r="U13" s="13">
        <f>DATOS_PIB!U13/DATOS_PIBPC!U13</f>
        <v>5388272.0000000009</v>
      </c>
      <c r="V13" s="13">
        <f>DATOS_PIB!V13/DATOS_PIBPC!V13</f>
        <v>5413970.9999999944</v>
      </c>
      <c r="W13" s="13">
        <f>DATOS_PIB!W13/DATOS_PIBPC!W13</f>
        <v>5438971.9999999944</v>
      </c>
      <c r="X13" s="13">
        <f>DATOS_PIB!X13/DATOS_PIBPC!X13</f>
        <v>5461512.0000000075</v>
      </c>
      <c r="Y13" s="13">
        <f>DATOS_PIB!Y13/DATOS_PIBPC!Y13</f>
        <v>5479530.9999999991</v>
      </c>
      <c r="Z13" s="13">
        <f>DATOS_PIB!Z13/DATOS_PIBPC!Z13</f>
        <v>5495302.9999999888</v>
      </c>
      <c r="AA13" s="13">
        <f>DATOS_PIB!AA13/DATOS_PIBPC!AA13</f>
        <v>5508214.0000000084</v>
      </c>
      <c r="AB13" s="13">
        <f>DATOS_PIB!AB13/DATOS_PIBPC!AB13</f>
        <v>5515524.9999999879</v>
      </c>
      <c r="AC13" s="13">
        <f>DATOS_PIB!AC13/DATOS_PIBPC!AC13</f>
        <v>5521605.9999999991</v>
      </c>
      <c r="AD13" s="13">
        <f>DATOS_PIB!AD13/DATOS_PIBPC!AD13</f>
        <v>5529543.0000000112</v>
      </c>
      <c r="AE13" s="13">
        <f>DATOS_PIB!AE13/DATOS_PIBPC!AE13</f>
        <v>5541016.9999999944</v>
      </c>
      <c r="AF13" s="13">
        <f>DATOS_PIB!AF13/DATOS_PIBPC!AF13</f>
        <v>5556105.9999999944</v>
      </c>
      <c r="AG13" s="13">
        <f>DATOS_PIB!AG13/DATOS_PIBPC!AG13</f>
        <v>5583910.9999999991</v>
      </c>
      <c r="AH13" s="13">
        <f>DATOS_PIB!AH13/DATOS_PIBPC!AH13</f>
        <v>5619911.0000000149</v>
      </c>
    </row>
    <row r="14" spans="1:34" x14ac:dyDescent="0.35">
      <c r="A14" s="11" t="s">
        <v>46</v>
      </c>
      <c r="B14" s="11" t="s">
        <v>47</v>
      </c>
      <c r="C14" s="13">
        <f>DATOS_PIB!C14/DATOS_PIBPC!C14</f>
        <v>59103093.999999918</v>
      </c>
      <c r="D14" s="13">
        <f>DATOS_PIB!D14/DATOS_PIBPC!D14</f>
        <v>59324863.000000075</v>
      </c>
      <c r="E14" s="13">
        <f>DATOS_PIB!E14/DATOS_PIBPC!E14</f>
        <v>59541293.999999806</v>
      </c>
      <c r="F14" s="13">
        <f>DATOS_PIB!F14/DATOS_PIBPC!F14</f>
        <v>59754504.000000015</v>
      </c>
      <c r="G14" s="13">
        <f>DATOS_PIB!G14/DATOS_PIBPC!G14</f>
        <v>59968065.999999963</v>
      </c>
      <c r="H14" s="13">
        <f>DATOS_PIB!H14/DATOS_PIBPC!H14</f>
        <v>60190683.999999925</v>
      </c>
      <c r="I14" s="13">
        <f>DATOS_PIB!I14/DATOS_PIBPC!I14</f>
        <v>60501986.000000119</v>
      </c>
      <c r="J14" s="13">
        <f>DATOS_PIB!J14/DATOS_PIBPC!J14</f>
        <v>60918660.999999978</v>
      </c>
      <c r="K14" s="13">
        <f>DATOS_PIB!K14/DATOS_PIBPC!K14</f>
        <v>61364376.999999918</v>
      </c>
      <c r="L14" s="13">
        <f>DATOS_PIB!L14/DATOS_PIBPC!L14</f>
        <v>61812142.000000045</v>
      </c>
      <c r="M14" s="13">
        <f>DATOS_PIB!M14/DATOS_PIBPC!M14</f>
        <v>62249854.999999978</v>
      </c>
      <c r="N14" s="13">
        <f>DATOS_PIB!N14/DATOS_PIBPC!N14</f>
        <v>62707587.999999933</v>
      </c>
      <c r="O14" s="13">
        <f>DATOS_PIB!O14/DATOS_PIBPC!O14</f>
        <v>63180853.999999866</v>
      </c>
      <c r="P14" s="13">
        <f>DATOS_PIB!P14/DATOS_PIBPC!P14</f>
        <v>63622341.999999925</v>
      </c>
      <c r="Q14" s="13">
        <f>DATOS_PIB!Q14/DATOS_PIBPC!Q14</f>
        <v>64016890.000000037</v>
      </c>
      <c r="R14" s="13">
        <f>DATOS_PIB!R14/DATOS_PIBPC!R14</f>
        <v>64375116.000000075</v>
      </c>
      <c r="S14" s="13">
        <f>DATOS_PIB!S14/DATOS_PIBPC!S14</f>
        <v>64706435.999999933</v>
      </c>
      <c r="T14" s="13">
        <f>DATOS_PIB!T14/DATOS_PIBPC!T14</f>
        <v>65026210.999999978</v>
      </c>
      <c r="U14" s="13">
        <f>DATOS_PIB!U14/DATOS_PIBPC!U14</f>
        <v>65340830.000000022</v>
      </c>
      <c r="V14" s="13">
        <f>DATOS_PIB!V14/DATOS_PIBPC!V14</f>
        <v>65657659.000000045</v>
      </c>
      <c r="W14" s="13">
        <f>DATOS_PIB!W14/DATOS_PIBPC!W14</f>
        <v>65997932.000000007</v>
      </c>
      <c r="X14" s="13">
        <f>DATOS_PIB!X14/DATOS_PIBPC!X14</f>
        <v>66312067.000000179</v>
      </c>
      <c r="Y14" s="13">
        <f>DATOS_PIB!Y14/DATOS_PIBPC!Y14</f>
        <v>66548272.000000112</v>
      </c>
      <c r="Z14" s="13">
        <f>DATOS_PIB!Z14/DATOS_PIBPC!Z14</f>
        <v>66724103.999999881</v>
      </c>
      <c r="AA14" s="13">
        <f>DATOS_PIB!AA14/DATOS_PIBPC!AA14</f>
        <v>66918019.999999925</v>
      </c>
      <c r="AB14" s="13">
        <f>DATOS_PIB!AB14/DATOS_PIBPC!AB14</f>
        <v>67158347.99999994</v>
      </c>
      <c r="AC14" s="13">
        <f>DATOS_PIB!AC14/DATOS_PIBPC!AC14</f>
        <v>67382061.000000075</v>
      </c>
      <c r="AD14" s="13">
        <f>DATOS_PIB!AD14/DATOS_PIBPC!AD14</f>
        <v>67601110.00000006</v>
      </c>
      <c r="AE14" s="13">
        <f>DATOS_PIB!AE14/DATOS_PIBPC!AE14</f>
        <v>67842811.000000045</v>
      </c>
      <c r="AF14" s="13">
        <f>DATOS_PIB!AF14/DATOS_PIBPC!AF14</f>
        <v>68184456.99999994</v>
      </c>
      <c r="AG14" s="13">
        <f>DATOS_PIB!AG14/DATOS_PIBPC!AG14</f>
        <v>68372286.000000134</v>
      </c>
      <c r="AH14" s="13">
        <f>DATOS_PIB!AH14/DATOS_PIBPC!AH14</f>
        <v>68551653.000000119</v>
      </c>
    </row>
    <row r="15" spans="1:34" x14ac:dyDescent="0.35">
      <c r="A15" s="11" t="s">
        <v>48</v>
      </c>
      <c r="B15" s="11" t="s">
        <v>49</v>
      </c>
      <c r="C15" s="13">
        <f>DATOS_PIB!C15/DATOS_PIBPC!C15</f>
        <v>10460415.000000002</v>
      </c>
      <c r="D15" s="13">
        <f>DATOS_PIB!D15/DATOS_PIBPC!D15</f>
        <v>10512921.999999996</v>
      </c>
      <c r="E15" s="13">
        <f>DATOS_PIB!E15/DATOS_PIBPC!E15</f>
        <v>10562153.000000022</v>
      </c>
      <c r="F15" s="13">
        <f>DATOS_PIB!F15/DATOS_PIBPC!F15</f>
        <v>10608800</v>
      </c>
      <c r="G15" s="13">
        <f>DATOS_PIB!G15/DATOS_PIBPC!G15</f>
        <v>10661259.000000047</v>
      </c>
      <c r="H15" s="13">
        <f>DATOS_PIB!H15/DATOS_PIBPC!H15</f>
        <v>10720508.999999991</v>
      </c>
      <c r="I15" s="13">
        <f>DATOS_PIB!I15/DATOS_PIBPC!I15</f>
        <v>10761698.000000041</v>
      </c>
      <c r="J15" s="13">
        <f>DATOS_PIB!J15/DATOS_PIBPC!J15</f>
        <v>10805807.999999966</v>
      </c>
      <c r="K15" s="13">
        <f>DATOS_PIB!K15/DATOS_PIBPC!K15</f>
        <v>10862132.000000006</v>
      </c>
      <c r="L15" s="13">
        <f>DATOS_PIB!L15/DATOS_PIBPC!L15</f>
        <v>10902022.000000026</v>
      </c>
      <c r="M15" s="13">
        <f>DATOS_PIB!M15/DATOS_PIBPC!M15</f>
        <v>10928070.000000026</v>
      </c>
      <c r="N15" s="13">
        <f>DATOS_PIB!N15/DATOS_PIBPC!N15</f>
        <v>10955140.999999985</v>
      </c>
      <c r="O15" s="13">
        <f>DATOS_PIB!O15/DATOS_PIBPC!O15</f>
        <v>10987314.000000009</v>
      </c>
      <c r="P15" s="13">
        <f>DATOS_PIB!P15/DATOS_PIBPC!P15</f>
        <v>11020361.999999998</v>
      </c>
      <c r="Q15" s="13">
        <f>DATOS_PIB!Q15/DATOS_PIBPC!Q15</f>
        <v>11048472.99999997</v>
      </c>
      <c r="R15" s="13">
        <f>DATOS_PIB!R15/DATOS_PIBPC!R15</f>
        <v>11077840.999999966</v>
      </c>
      <c r="S15" s="13">
        <f>DATOS_PIB!S15/DATOS_PIBPC!S15</f>
        <v>11107016.999999998</v>
      </c>
      <c r="T15" s="13">
        <f>DATOS_PIB!T15/DATOS_PIBPC!T15</f>
        <v>11121341.000000013</v>
      </c>
      <c r="U15" s="13">
        <f>DATOS_PIB!U15/DATOS_PIBPC!U15</f>
        <v>11104898.999999996</v>
      </c>
      <c r="V15" s="13">
        <f>DATOS_PIB!V15/DATOS_PIBPC!V15</f>
        <v>11045010.999999993</v>
      </c>
      <c r="W15" s="13">
        <f>DATOS_PIB!W15/DATOS_PIBPC!W15</f>
        <v>10965210.999999972</v>
      </c>
      <c r="X15" s="13">
        <f>DATOS_PIB!X15/DATOS_PIBPC!X15</f>
        <v>10892413.000000009</v>
      </c>
      <c r="Y15" s="13">
        <f>DATOS_PIB!Y15/DATOS_PIBPC!Y15</f>
        <v>10820883.000000019</v>
      </c>
      <c r="Z15" s="13">
        <f>DATOS_PIB!Z15/DATOS_PIBPC!Z15</f>
        <v>10775970.999999985</v>
      </c>
      <c r="AA15" s="13">
        <f>DATOS_PIB!AA15/DATOS_PIBPC!AA15</f>
        <v>10754679.000000011</v>
      </c>
      <c r="AB15" s="13">
        <f>DATOS_PIB!AB15/DATOS_PIBPC!AB15</f>
        <v>10732882.000000039</v>
      </c>
      <c r="AC15" s="13">
        <f>DATOS_PIB!AC15/DATOS_PIBPC!AC15</f>
        <v>10721581.999999998</v>
      </c>
      <c r="AD15" s="13">
        <f>DATOS_PIB!AD15/DATOS_PIBPC!AD15</f>
        <v>10698598.999999994</v>
      </c>
      <c r="AE15" s="13">
        <f>DATOS_PIB!AE15/DATOS_PIBPC!AE15</f>
        <v>10569206.999999966</v>
      </c>
      <c r="AF15" s="13">
        <f>DATOS_PIB!AF15/DATOS_PIBPC!AF15</f>
        <v>10436881.999999972</v>
      </c>
      <c r="AG15" s="13">
        <f>DATOS_PIB!AG15/DATOS_PIBPC!AG15</f>
        <v>10407350.999999998</v>
      </c>
      <c r="AH15" s="13">
        <f>DATOS_PIB!AH15/DATOS_PIBPC!AH15</f>
        <v>10405133.99999998</v>
      </c>
    </row>
    <row r="16" spans="1:34" x14ac:dyDescent="0.35">
      <c r="A16" s="11" t="s">
        <v>50</v>
      </c>
      <c r="B16" s="11" t="s">
        <v>51</v>
      </c>
      <c r="C16" s="13">
        <f>DATOS_PIB!C16/DATOS_PIBPC!C16</f>
        <v>3576260.9999999967</v>
      </c>
      <c r="D16" s="13">
        <f>DATOS_PIB!D16/DATOS_PIBPC!D16</f>
        <v>3590385.9999999935</v>
      </c>
      <c r="E16" s="13">
        <f>DATOS_PIB!E16/DATOS_PIBPC!E16</f>
        <v>3608840.9999999898</v>
      </c>
      <c r="F16" s="13">
        <f>DATOS_PIB!F16/DATOS_PIBPC!F16</f>
        <v>3637509.9999999995</v>
      </c>
      <c r="G16" s="13">
        <f>DATOS_PIB!G16/DATOS_PIBPC!G16</f>
        <v>3674170.9999999921</v>
      </c>
      <c r="H16" s="13">
        <f>DATOS_PIB!H16/DATOS_PIBPC!H16</f>
        <v>3712695.9999999902</v>
      </c>
      <c r="I16" s="13">
        <f>DATOS_PIB!I16/DATOS_PIBPC!I16</f>
        <v>3754786.0000000088</v>
      </c>
      <c r="J16" s="13">
        <f>DATOS_PIB!J16/DATOS_PIBPC!J16</f>
        <v>3805173.9999999967</v>
      </c>
      <c r="K16" s="13">
        <f>DATOS_PIB!K16/DATOS_PIBPC!K16</f>
        <v>3866242.9999999884</v>
      </c>
      <c r="L16" s="13">
        <f>DATOS_PIB!L16/DATOS_PIBPC!L16</f>
        <v>3931946.9999999967</v>
      </c>
      <c r="M16" s="13">
        <f>DATOS_PIB!M16/DATOS_PIBPC!M16</f>
        <v>3996520.9999999935</v>
      </c>
      <c r="N16" s="13">
        <f>DATOS_PIB!N16/DATOS_PIBPC!N16</f>
        <v>4070261.9999999967</v>
      </c>
      <c r="O16" s="13">
        <f>DATOS_PIB!O16/DATOS_PIBPC!O16</f>
        <v>4159913.9999999935</v>
      </c>
      <c r="P16" s="13">
        <f>DATOS_PIB!P16/DATOS_PIBPC!P16</f>
        <v>4273591.0000000102</v>
      </c>
      <c r="Q16" s="13">
        <f>DATOS_PIB!Q16/DATOS_PIBPC!Q16</f>
        <v>4398942.0000000056</v>
      </c>
      <c r="R16" s="13">
        <f>DATOS_PIB!R16/DATOS_PIBPC!R16</f>
        <v>4489543.9999999944</v>
      </c>
      <c r="S16" s="13">
        <f>DATOS_PIB!S16/DATOS_PIBPC!S16</f>
        <v>4535375.0000000056</v>
      </c>
      <c r="T16" s="13">
        <f>DATOS_PIB!T16/DATOS_PIBPC!T16</f>
        <v>4560154.9999999963</v>
      </c>
      <c r="U16" s="13">
        <f>DATOS_PIB!U16/DATOS_PIBPC!U16</f>
        <v>4580084.0000000009</v>
      </c>
      <c r="V16" s="13">
        <f>DATOS_PIB!V16/DATOS_PIBPC!V16</f>
        <v>4599532.999999987</v>
      </c>
      <c r="W16" s="13">
        <f>DATOS_PIB!W16/DATOS_PIBPC!W16</f>
        <v>4623816.0000000056</v>
      </c>
      <c r="X16" s="13">
        <f>DATOS_PIB!X16/DATOS_PIBPC!X16</f>
        <v>4657739.9999999953</v>
      </c>
      <c r="Y16" s="13">
        <f>DATOS_PIB!Y16/DATOS_PIBPC!Y16</f>
        <v>4701957.0000000037</v>
      </c>
      <c r="Z16" s="13">
        <f>DATOS_PIB!Z16/DATOS_PIBPC!Z16</f>
        <v>4762722.0000000047</v>
      </c>
      <c r="AA16" s="13">
        <f>DATOS_PIB!AA16/DATOS_PIBPC!AA16</f>
        <v>4827445.0000000065</v>
      </c>
      <c r="AB16" s="13">
        <f>DATOS_PIB!AB16/DATOS_PIBPC!AB16</f>
        <v>4898022.0000000037</v>
      </c>
      <c r="AC16" s="13">
        <f>DATOS_PIB!AC16/DATOS_PIBPC!AC16</f>
        <v>4976455.9999999916</v>
      </c>
      <c r="AD16" s="13">
        <f>DATOS_PIB!AD16/DATOS_PIBPC!AD16</f>
        <v>5039747.0000000056</v>
      </c>
      <c r="AE16" s="13">
        <f>DATOS_PIB!AE16/DATOS_PIBPC!AE16</f>
        <v>5110584.9999999944</v>
      </c>
      <c r="AF16" s="13">
        <f>DATOS_PIB!AF16/DATOS_PIBPC!AF16</f>
        <v>5212835.9999999981</v>
      </c>
      <c r="AG16" s="13">
        <f>DATOS_PIB!AG16/DATOS_PIBPC!AG16</f>
        <v>5311538</v>
      </c>
      <c r="AH16" s="13">
        <f>DATOS_PIB!AH16/DATOS_PIBPC!AH16</f>
        <v>5395790.0000000037</v>
      </c>
    </row>
    <row r="17" spans="1:34" x14ac:dyDescent="0.35">
      <c r="A17" s="11" t="s">
        <v>52</v>
      </c>
      <c r="B17" s="11" t="s">
        <v>53</v>
      </c>
      <c r="C17" s="13">
        <f>DATOS_PIB!C17/DATOS_PIBPC!C17</f>
        <v>56831821.000000022</v>
      </c>
      <c r="D17" s="13">
        <f>DATOS_PIB!D17/DATOS_PIBPC!D17</f>
        <v>56843400.000000112</v>
      </c>
      <c r="E17" s="13">
        <f>DATOS_PIB!E17/DATOS_PIBPC!E17</f>
        <v>56844303.000000171</v>
      </c>
      <c r="F17" s="13">
        <f>DATOS_PIB!F17/DATOS_PIBPC!F17</f>
        <v>56860281.000000022</v>
      </c>
      <c r="G17" s="13">
        <f>DATOS_PIB!G17/DATOS_PIBPC!G17</f>
        <v>56890372.000000052</v>
      </c>
      <c r="H17" s="13">
        <f>DATOS_PIB!H17/DATOS_PIBPC!H17</f>
        <v>56906743.999999814</v>
      </c>
      <c r="I17" s="13">
        <f>DATOS_PIB!I17/DATOS_PIBPC!I17</f>
        <v>56916317.000000194</v>
      </c>
      <c r="J17" s="13">
        <f>DATOS_PIB!J17/DATOS_PIBPC!J17</f>
        <v>56942107.999999948</v>
      </c>
      <c r="K17" s="13">
        <f>DATOS_PIB!K17/DATOS_PIBPC!K17</f>
        <v>56976981.000000037</v>
      </c>
      <c r="L17" s="13">
        <f>DATOS_PIB!L17/DATOS_PIBPC!L17</f>
        <v>57089823.999999963</v>
      </c>
      <c r="M17" s="13">
        <f>DATOS_PIB!M17/DATOS_PIBPC!M17</f>
        <v>57399183.999999888</v>
      </c>
      <c r="N17" s="13">
        <f>DATOS_PIB!N17/DATOS_PIBPC!N17</f>
        <v>57828178.999999836</v>
      </c>
      <c r="O17" s="13">
        <f>DATOS_PIB!O17/DATOS_PIBPC!O17</f>
        <v>58166681.999999918</v>
      </c>
      <c r="P17" s="13">
        <f>DATOS_PIB!P17/DATOS_PIBPC!P17</f>
        <v>58399860.99999997</v>
      </c>
      <c r="Q17" s="13">
        <f>DATOS_PIB!Q17/DATOS_PIBPC!Q17</f>
        <v>58756247.000000015</v>
      </c>
      <c r="R17" s="13">
        <f>DATOS_PIB!R17/DATOS_PIBPC!R17</f>
        <v>59211180.999999963</v>
      </c>
      <c r="S17" s="13">
        <f>DATOS_PIB!S17/DATOS_PIBPC!S17</f>
        <v>59555454.000000045</v>
      </c>
      <c r="T17" s="13">
        <f>DATOS_PIB!T17/DATOS_PIBPC!T17</f>
        <v>59819407.000000007</v>
      </c>
      <c r="U17" s="13">
        <f>DATOS_PIB!U17/DATOS_PIBPC!U17</f>
        <v>60026840.999999881</v>
      </c>
      <c r="V17" s="13">
        <f>DATOS_PIB!V17/DATOS_PIBPC!V17</f>
        <v>60191247.000000007</v>
      </c>
      <c r="W17" s="13">
        <f>DATOS_PIB!W17/DATOS_PIBPC!W17</f>
        <v>60311612.999999948</v>
      </c>
      <c r="X17" s="13">
        <f>DATOS_PIB!X17/DATOS_PIBPC!X17</f>
        <v>60320706.999999978</v>
      </c>
      <c r="Y17" s="13">
        <f>DATOS_PIB!Y17/DATOS_PIBPC!Y17</f>
        <v>60229605.000000015</v>
      </c>
      <c r="Z17" s="13">
        <f>DATOS_PIB!Z17/DATOS_PIBPC!Z17</f>
        <v>60115223.000000075</v>
      </c>
      <c r="AA17" s="13">
        <f>DATOS_PIB!AA17/DATOS_PIBPC!AA17</f>
        <v>60002251.999999993</v>
      </c>
      <c r="AB17" s="13">
        <f>DATOS_PIB!AB17/DATOS_PIBPC!AB17</f>
        <v>60148657.999999896</v>
      </c>
      <c r="AC17" s="13">
        <f>DATOS_PIB!AC17/DATOS_PIBPC!AC17</f>
        <v>59729080.999999873</v>
      </c>
      <c r="AD17" s="13">
        <f>DATOS_PIB!AD17/DATOS_PIBPC!AD17</f>
        <v>59438851.000000015</v>
      </c>
      <c r="AE17" s="13">
        <f>DATOS_PIB!AE17/DATOS_PIBPC!AE17</f>
        <v>59133173.000000037</v>
      </c>
      <c r="AF17" s="13">
        <f>DATOS_PIB!AF17/DATOS_PIBPC!AF17</f>
        <v>59013667.000000127</v>
      </c>
      <c r="AG17" s="13">
        <f>DATOS_PIB!AG17/DATOS_PIBPC!AG17</f>
        <v>58984215.999999978</v>
      </c>
      <c r="AH17" s="13">
        <f>DATOS_PIB!AH17/DATOS_PIBPC!AH17</f>
        <v>58952704.000000045</v>
      </c>
    </row>
    <row r="18" spans="1:34" x14ac:dyDescent="0.35">
      <c r="A18" s="11" t="s">
        <v>54</v>
      </c>
      <c r="B18" s="11" t="s">
        <v>55</v>
      </c>
      <c r="C18" s="13">
        <f>DATOS_PIB!C18/DATOS_PIBPC!C18</f>
        <v>2563289.9999999944</v>
      </c>
      <c r="D18" s="13">
        <f>DATOS_PIB!D18/DATOS_PIBPC!D18</f>
        <v>2520741.999999993</v>
      </c>
      <c r="E18" s="13">
        <f>DATOS_PIB!E18/DATOS_PIBPC!E18</f>
        <v>2485056.0000000088</v>
      </c>
      <c r="F18" s="13">
        <f>DATOS_PIB!F18/DATOS_PIBPC!F18</f>
        <v>2457221.9999999935</v>
      </c>
      <c r="G18" s="13">
        <f>DATOS_PIB!G18/DATOS_PIBPC!G18</f>
        <v>2432850.9999999986</v>
      </c>
      <c r="H18" s="13">
        <f>DATOS_PIB!H18/DATOS_PIBPC!H18</f>
        <v>2410019.0000000061</v>
      </c>
      <c r="I18" s="13">
        <f>DATOS_PIB!I18/DATOS_PIBPC!I18</f>
        <v>2390481.9999999995</v>
      </c>
      <c r="J18" s="13">
        <f>DATOS_PIB!J18/DATOS_PIBPC!J18</f>
        <v>2367550.0000000084</v>
      </c>
      <c r="K18" s="13">
        <f>DATOS_PIB!K18/DATOS_PIBPC!K18</f>
        <v>2337170.0000000023</v>
      </c>
      <c r="L18" s="13">
        <f>DATOS_PIB!L18/DATOS_PIBPC!L18</f>
        <v>2310172.9999999972</v>
      </c>
      <c r="M18" s="13">
        <f>DATOS_PIB!M18/DATOS_PIBPC!M18</f>
        <v>2287955</v>
      </c>
      <c r="N18" s="13">
        <f>DATOS_PIB!N18/DATOS_PIBPC!N18</f>
        <v>2263121.9999999953</v>
      </c>
      <c r="O18" s="13">
        <f>DATOS_PIB!O18/DATOS_PIBPC!O18</f>
        <v>2238798.9999999879</v>
      </c>
      <c r="P18" s="13">
        <f>DATOS_PIB!P18/DATOS_PIBPC!P18</f>
        <v>2218357.0000000065</v>
      </c>
      <c r="Q18" s="13">
        <f>DATOS_PIB!Q18/DATOS_PIBPC!Q18</f>
        <v>2200325.0000000098</v>
      </c>
      <c r="R18" s="13">
        <f>DATOS_PIB!R18/DATOS_PIBPC!R18</f>
        <v>2177321.9999999879</v>
      </c>
      <c r="S18" s="13">
        <f>DATOS_PIB!S18/DATOS_PIBPC!S18</f>
        <v>2141668.9999999995</v>
      </c>
      <c r="T18" s="13">
        <f>DATOS_PIB!T18/DATOS_PIBPC!T18</f>
        <v>2097555.0000000084</v>
      </c>
      <c r="U18" s="13">
        <f>DATOS_PIB!U18/DATOS_PIBPC!U18</f>
        <v>2059708.9999999877</v>
      </c>
      <c r="V18" s="13">
        <f>DATOS_PIB!V18/DATOS_PIBPC!V18</f>
        <v>2034319.0000000037</v>
      </c>
      <c r="W18" s="13">
        <f>DATOS_PIB!W18/DATOS_PIBPC!W18</f>
        <v>2012646.9999999986</v>
      </c>
      <c r="X18" s="13">
        <f>DATOS_PIB!X18/DATOS_PIBPC!X18</f>
        <v>1993781.9999999935</v>
      </c>
      <c r="Y18" s="13">
        <f>DATOS_PIB!Y18/DATOS_PIBPC!Y18</f>
        <v>1977526.9999999932</v>
      </c>
      <c r="Z18" s="13">
        <f>DATOS_PIB!Z18/DATOS_PIBPC!Z18</f>
        <v>1959537.0000000049</v>
      </c>
      <c r="AA18" s="13">
        <f>DATOS_PIB!AA18/DATOS_PIBPC!AA18</f>
        <v>1942247.9999999963</v>
      </c>
      <c r="AB18" s="13">
        <f>DATOS_PIB!AB18/DATOS_PIBPC!AB18</f>
        <v>1927173.9999999988</v>
      </c>
      <c r="AC18" s="13">
        <f>DATOS_PIB!AC18/DATOS_PIBPC!AC18</f>
        <v>1913822.0000000033</v>
      </c>
      <c r="AD18" s="13">
        <f>DATOS_PIB!AD18/DATOS_PIBPC!AD18</f>
        <v>1900448.9999999988</v>
      </c>
      <c r="AE18" s="13">
        <f>DATOS_PIB!AE18/DATOS_PIBPC!AE18</f>
        <v>1884490.000000003</v>
      </c>
      <c r="AF18" s="13">
        <f>DATOS_PIB!AF18/DATOS_PIBPC!AF18</f>
        <v>1879382.9999999984</v>
      </c>
      <c r="AG18" s="13">
        <f>DATOS_PIB!AG18/DATOS_PIBPC!AG18</f>
        <v>1883710.0000000019</v>
      </c>
      <c r="AH18" s="13">
        <f>DATOS_PIB!AH18/DATOS_PIBPC!AH18</f>
        <v>1866124</v>
      </c>
    </row>
    <row r="19" spans="1:34" x14ac:dyDescent="0.35">
      <c r="A19" s="11" t="s">
        <v>56</v>
      </c>
      <c r="B19" s="11" t="s">
        <v>57</v>
      </c>
      <c r="C19" s="13">
        <f>DATOS_PIB!C19/DATOS_PIBPC!C19</f>
        <v>3682613.0000000047</v>
      </c>
      <c r="D19" s="13">
        <f>DATOS_PIB!D19/DATOS_PIBPC!D19</f>
        <v>3657144.0000000005</v>
      </c>
      <c r="E19" s="13">
        <f>DATOS_PIB!E19/DATOS_PIBPC!E19</f>
        <v>3629101.9999999925</v>
      </c>
      <c r="F19" s="13">
        <f>DATOS_PIB!F19/DATOS_PIBPC!F19</f>
        <v>3601613.0000000047</v>
      </c>
      <c r="G19" s="13">
        <f>DATOS_PIB!G19/DATOS_PIBPC!G19</f>
        <v>3575137.0000000084</v>
      </c>
      <c r="H19" s="13">
        <f>DATOS_PIB!H19/DATOS_PIBPC!H19</f>
        <v>3549331.0000000098</v>
      </c>
      <c r="I19" s="13">
        <f>DATOS_PIB!I19/DATOS_PIBPC!I19</f>
        <v>3524238.0000000079</v>
      </c>
      <c r="J19" s="13">
        <f>DATOS_PIB!J19/DATOS_PIBPC!J19</f>
        <v>3499535.9999999981</v>
      </c>
      <c r="K19" s="13">
        <f>DATOS_PIB!K19/DATOS_PIBPC!K19</f>
        <v>3470817.9999999991</v>
      </c>
      <c r="L19" s="13">
        <f>DATOS_PIB!L19/DATOS_PIBPC!L19</f>
        <v>3443067.0000000005</v>
      </c>
      <c r="M19" s="13">
        <f>DATOS_PIB!M19/DATOS_PIBPC!M19</f>
        <v>3415212.9999999991</v>
      </c>
      <c r="N19" s="13">
        <f>DATOS_PIB!N19/DATOS_PIBPC!N19</f>
        <v>3377075.0000000061</v>
      </c>
      <c r="O19" s="13">
        <f>DATOS_PIB!O19/DATOS_PIBPC!O19</f>
        <v>3322528</v>
      </c>
      <c r="P19" s="13">
        <f>DATOS_PIB!P19/DATOS_PIBPC!P19</f>
        <v>3269909.000000013</v>
      </c>
      <c r="Q19" s="13">
        <f>DATOS_PIB!Q19/DATOS_PIBPC!Q19</f>
        <v>3231293.9999999939</v>
      </c>
      <c r="R19" s="13">
        <f>DATOS_PIB!R19/DATOS_PIBPC!R19</f>
        <v>3198230.9999999986</v>
      </c>
      <c r="S19" s="13">
        <f>DATOS_PIB!S19/DATOS_PIBPC!S19</f>
        <v>3162915.9999999991</v>
      </c>
      <c r="T19" s="13">
        <f>DATOS_PIB!T19/DATOS_PIBPC!T19</f>
        <v>3097281.9999999814</v>
      </c>
      <c r="U19" s="13">
        <f>DATOS_PIB!U19/DATOS_PIBPC!U19</f>
        <v>3028115.0000000075</v>
      </c>
      <c r="V19" s="13">
        <f>DATOS_PIB!V19/DATOS_PIBPC!V19</f>
        <v>2989138.9999999856</v>
      </c>
      <c r="W19" s="13">
        <f>DATOS_PIB!W19/DATOS_PIBPC!W19</f>
        <v>2961250.0000000102</v>
      </c>
      <c r="X19" s="13">
        <f>DATOS_PIB!X19/DATOS_PIBPC!X19</f>
        <v>2937253.0000000051</v>
      </c>
      <c r="Y19" s="13">
        <f>DATOS_PIB!Y19/DATOS_PIBPC!Y19</f>
        <v>2911108.9999999921</v>
      </c>
      <c r="Z19" s="13">
        <f>DATOS_PIB!Z19/DATOS_PIBPC!Z19</f>
        <v>2877325.0000000075</v>
      </c>
      <c r="AA19" s="13">
        <f>DATOS_PIB!AA19/DATOS_PIBPC!AA19</f>
        <v>2842638.9999999981</v>
      </c>
      <c r="AB19" s="13">
        <f>DATOS_PIB!AB19/DATOS_PIBPC!AB19</f>
        <v>2819199.9999999953</v>
      </c>
      <c r="AC19" s="13">
        <f>DATOS_PIB!AC19/DATOS_PIBPC!AC19</f>
        <v>2811089.0000000023</v>
      </c>
      <c r="AD19" s="13">
        <f>DATOS_PIB!AD19/DATOS_PIBPC!AD19</f>
        <v>2810368.9999999972</v>
      </c>
      <c r="AE19" s="13">
        <f>DATOS_PIB!AE19/DATOS_PIBPC!AE19</f>
        <v>2808380.0000000005</v>
      </c>
      <c r="AF19" s="13">
        <f>DATOS_PIB!AF19/DATOS_PIBPC!AF19</f>
        <v>2831639.0000000061</v>
      </c>
      <c r="AG19" s="13">
        <f>DATOS_PIB!AG19/DATOS_PIBPC!AG19</f>
        <v>2871585.0000000033</v>
      </c>
      <c r="AH19" s="13">
        <f>DATOS_PIB!AH19/DATOS_PIBPC!AH19</f>
        <v>2888277.9999999986</v>
      </c>
    </row>
    <row r="20" spans="1:34" x14ac:dyDescent="0.35">
      <c r="A20" s="11" t="s">
        <v>58</v>
      </c>
      <c r="B20" s="11" t="s">
        <v>59</v>
      </c>
      <c r="C20" s="13">
        <f>DATOS_PIB!C20/DATOS_PIBPC!C20</f>
        <v>397475.00000000035</v>
      </c>
      <c r="D20" s="13">
        <f>DATOS_PIB!D20/DATOS_PIBPC!D20</f>
        <v>402924.99999999965</v>
      </c>
      <c r="E20" s="13">
        <f>DATOS_PIB!E20/DATOS_PIBPC!E20</f>
        <v>408625</v>
      </c>
      <c r="F20" s="13">
        <f>DATOS_PIB!F20/DATOS_PIBPC!F20</f>
        <v>414225.00000000093</v>
      </c>
      <c r="G20" s="13">
        <f>DATOS_PIB!G20/DATOS_PIBPC!G20</f>
        <v>419449.99999999988</v>
      </c>
      <c r="H20" s="13">
        <f>DATOS_PIB!H20/DATOS_PIBPC!H20</f>
        <v>424700.00000000029</v>
      </c>
      <c r="I20" s="13">
        <f>DATOS_PIB!I20/DATOS_PIBPC!I20</f>
        <v>430475</v>
      </c>
      <c r="J20" s="13">
        <f>DATOS_PIB!J20/DATOS_PIBPC!J20</f>
        <v>436299.99999999988</v>
      </c>
      <c r="K20" s="13">
        <f>DATOS_PIB!K20/DATOS_PIBPC!K20</f>
        <v>441525.00000000035</v>
      </c>
      <c r="L20" s="13">
        <f>DATOS_PIB!L20/DATOS_PIBPC!L20</f>
        <v>446174.99999999959</v>
      </c>
      <c r="M20" s="13">
        <f>DATOS_PIB!M20/DATOS_PIBPC!M20</f>
        <v>451629.99999999988</v>
      </c>
      <c r="N20" s="13">
        <f>DATOS_PIB!N20/DATOS_PIBPC!N20</f>
        <v>458095.00000000192</v>
      </c>
      <c r="O20" s="13">
        <f>DATOS_PIB!O20/DATOS_PIBPC!O20</f>
        <v>465157.99999999866</v>
      </c>
      <c r="P20" s="13">
        <f>DATOS_PIB!P20/DATOS_PIBPC!P20</f>
        <v>472636.99999999831</v>
      </c>
      <c r="Q20" s="13">
        <f>DATOS_PIB!Q20/DATOS_PIBPC!Q20</f>
        <v>479992.99999999756</v>
      </c>
      <c r="R20" s="13">
        <f>DATOS_PIB!R20/DATOS_PIBPC!R20</f>
        <v>488650.00000000198</v>
      </c>
      <c r="S20" s="13">
        <f>DATOS_PIB!S20/DATOS_PIBPC!S20</f>
        <v>497783.0000000021</v>
      </c>
      <c r="T20" s="13">
        <f>DATOS_PIB!T20/DATOS_PIBPC!T20</f>
        <v>506952.99999999814</v>
      </c>
      <c r="U20" s="13">
        <f>DATOS_PIB!U20/DATOS_PIBPC!U20</f>
        <v>518347.0000000025</v>
      </c>
      <c r="V20" s="13">
        <f>DATOS_PIB!V20/DATOS_PIBPC!V20</f>
        <v>530946.00000000058</v>
      </c>
      <c r="W20" s="13">
        <f>DATOS_PIB!W20/DATOS_PIBPC!W20</f>
        <v>543360.00000000012</v>
      </c>
      <c r="X20" s="13">
        <f>DATOS_PIB!X20/DATOS_PIBPC!X20</f>
        <v>556319.00000000151</v>
      </c>
      <c r="Y20" s="13">
        <f>DATOS_PIB!Y20/DATOS_PIBPC!Y20</f>
        <v>569603.99999999825</v>
      </c>
      <c r="Z20" s="13">
        <f>DATOS_PIB!Z20/DATOS_PIBPC!Z20</f>
        <v>582013.99999999756</v>
      </c>
      <c r="AA20" s="13">
        <f>DATOS_PIB!AA20/DATOS_PIBPC!AA20</f>
        <v>596336.00000000093</v>
      </c>
      <c r="AB20" s="13">
        <f>DATOS_PIB!AB20/DATOS_PIBPC!AB20</f>
        <v>607949.99999999884</v>
      </c>
      <c r="AC20" s="13">
        <f>DATOS_PIB!AC20/DATOS_PIBPC!AC20</f>
        <v>620000.99999999942</v>
      </c>
      <c r="AD20" s="13">
        <f>DATOS_PIB!AD20/DATOS_PIBPC!AD20</f>
        <v>630418.99999999732</v>
      </c>
      <c r="AE20" s="13">
        <f>DATOS_PIB!AE20/DATOS_PIBPC!AE20</f>
        <v>640063.99999999732</v>
      </c>
      <c r="AF20" s="13">
        <f>DATOS_PIB!AF20/DATOS_PIBPC!AF20</f>
        <v>653103.00000000116</v>
      </c>
      <c r="AG20" s="13">
        <f>DATOS_PIB!AG20/DATOS_PIBPC!AG20</f>
        <v>666430.00000000244</v>
      </c>
      <c r="AH20" s="13">
        <f>DATOS_PIB!AH20/DATOS_PIBPC!AH20</f>
        <v>677012.00000000279</v>
      </c>
    </row>
    <row r="21" spans="1:34" x14ac:dyDescent="0.35">
      <c r="A21" s="11" t="s">
        <v>60</v>
      </c>
      <c r="B21" s="11" t="s">
        <v>61</v>
      </c>
      <c r="C21" s="13">
        <f>DATOS_PIB!C21/DATOS_PIBPC!C21</f>
        <v>371307.99999999953</v>
      </c>
      <c r="D21" s="13">
        <f>DATOS_PIB!D21/DATOS_PIBPC!D21</f>
        <v>374797.00000000017</v>
      </c>
      <c r="E21" s="13">
        <f>DATOS_PIB!E21/DATOS_PIBPC!E21</f>
        <v>377419.00000000041</v>
      </c>
      <c r="F21" s="13">
        <f>DATOS_PIB!F21/DATOS_PIBPC!F21</f>
        <v>379905.00000000122</v>
      </c>
      <c r="G21" s="13">
        <f>DATOS_PIB!G21/DATOS_PIBPC!G21</f>
        <v>382791.00000000099</v>
      </c>
      <c r="H21" s="13">
        <f>DATOS_PIB!H21/DATOS_PIBPC!H21</f>
        <v>385287.00000000052</v>
      </c>
      <c r="I21" s="13">
        <f>DATOS_PIB!I21/DATOS_PIBPC!I21</f>
        <v>387578.00000000006</v>
      </c>
      <c r="J21" s="13">
        <f>DATOS_PIB!J21/DATOS_PIBPC!J21</f>
        <v>390086.99999999994</v>
      </c>
      <c r="K21" s="13">
        <f>DATOS_PIB!K21/DATOS_PIBPC!K21</f>
        <v>393027.99999999924</v>
      </c>
      <c r="L21" s="13">
        <f>DATOS_PIB!L21/DATOS_PIBPC!L21</f>
        <v>395969.00000000064</v>
      </c>
      <c r="M21" s="13">
        <f>DATOS_PIB!M21/DATOS_PIBPC!M21</f>
        <v>398581.99999999942</v>
      </c>
      <c r="N21" s="13">
        <f>DATOS_PIB!N21/DATOS_PIBPC!N21</f>
        <v>401267.99999999959</v>
      </c>
      <c r="O21" s="13">
        <f>DATOS_PIB!O21/DATOS_PIBPC!O21</f>
        <v>403833.99999999959</v>
      </c>
      <c r="P21" s="13">
        <f>DATOS_PIB!P21/DATOS_PIBPC!P21</f>
        <v>405307.99999999942</v>
      </c>
      <c r="Q21" s="13">
        <f>DATOS_PIB!Q21/DATOS_PIBPC!Q21</f>
        <v>406723.99999999919</v>
      </c>
      <c r="R21" s="13">
        <f>DATOS_PIB!R21/DATOS_PIBPC!R21</f>
        <v>409378.99999999942</v>
      </c>
      <c r="S21" s="13">
        <f>DATOS_PIB!S21/DATOS_PIBPC!S21</f>
        <v>412477.00000000099</v>
      </c>
      <c r="T21" s="13">
        <f>DATOS_PIB!T21/DATOS_PIBPC!T21</f>
        <v>414508.00000000017</v>
      </c>
      <c r="U21" s="13">
        <f>DATOS_PIB!U21/DATOS_PIBPC!U21</f>
        <v>416268.00000000076</v>
      </c>
      <c r="V21" s="13">
        <f>DATOS_PIB!V21/DATOS_PIBPC!V21</f>
        <v>420027.99999999994</v>
      </c>
      <c r="W21" s="13">
        <f>DATOS_PIB!W21/DATOS_PIBPC!W21</f>
        <v>424809.99999999988</v>
      </c>
      <c r="X21" s="13">
        <f>DATOS_PIB!X21/DATOS_PIBPC!X21</f>
        <v>433481.00000000076</v>
      </c>
      <c r="Y21" s="13">
        <f>DATOS_PIB!Y21/DATOS_PIBPC!Y21</f>
        <v>444220.0000000014</v>
      </c>
      <c r="Z21" s="13">
        <f>DATOS_PIB!Z21/DATOS_PIBPC!Z21</f>
        <v>454504.99999999983</v>
      </c>
      <c r="AA21" s="13">
        <f>DATOS_PIB!AA21/DATOS_PIBPC!AA21</f>
        <v>467106.00000000111</v>
      </c>
      <c r="AB21" s="13">
        <f>DATOS_PIB!AB21/DATOS_PIBPC!AB21</f>
        <v>483902.99999999936</v>
      </c>
      <c r="AC21" s="13">
        <f>DATOS_PIB!AC21/DATOS_PIBPC!AC21</f>
        <v>503912.00000000116</v>
      </c>
      <c r="AD21" s="13">
        <f>DATOS_PIB!AD21/DATOS_PIBPC!AD21</f>
        <v>515490.00000000041</v>
      </c>
      <c r="AE21" s="13">
        <f>DATOS_PIB!AE21/DATOS_PIBPC!AE21</f>
        <v>518150.00000000151</v>
      </c>
      <c r="AF21" s="13">
        <f>DATOS_PIB!AF21/DATOS_PIBPC!AF21</f>
        <v>531112.99999999919</v>
      </c>
      <c r="AG21" s="13">
        <f>DATOS_PIB!AG21/DATOS_PIBPC!AG21</f>
        <v>552746.99999999942</v>
      </c>
      <c r="AH21" s="13">
        <f>DATOS_PIB!AH21/DATOS_PIBPC!AH21</f>
        <v>568846.99999999965</v>
      </c>
    </row>
    <row r="22" spans="1:34" x14ac:dyDescent="0.35">
      <c r="A22" s="11" t="s">
        <v>62</v>
      </c>
      <c r="B22" s="11" t="s">
        <v>63</v>
      </c>
      <c r="C22" s="13">
        <f>DATOS_PIB!C22/DATOS_PIBPC!C22</f>
        <v>15290368.000000006</v>
      </c>
      <c r="D22" s="13">
        <f>DATOS_PIB!D22/DATOS_PIBPC!D22</f>
        <v>15382838.000000022</v>
      </c>
      <c r="E22" s="13">
        <f>DATOS_PIB!E22/DATOS_PIBPC!E22</f>
        <v>15459005.99999998</v>
      </c>
      <c r="F22" s="13">
        <f>DATOS_PIB!F22/DATOS_PIBPC!F22</f>
        <v>15530498.000000006</v>
      </c>
      <c r="G22" s="13">
        <f>DATOS_PIB!G22/DATOS_PIBPC!G22</f>
        <v>15610650.000000002</v>
      </c>
      <c r="H22" s="13">
        <f>DATOS_PIB!H22/DATOS_PIBPC!H22</f>
        <v>15707209.000000009</v>
      </c>
      <c r="I22" s="13">
        <f>DATOS_PIB!I22/DATOS_PIBPC!I22</f>
        <v>15812088.000000017</v>
      </c>
      <c r="J22" s="13">
        <f>DATOS_PIB!J22/DATOS_PIBPC!J22</f>
        <v>15925512.999999996</v>
      </c>
      <c r="K22" s="13">
        <f>DATOS_PIB!K22/DATOS_PIBPC!K22</f>
        <v>16046180.000000024</v>
      </c>
      <c r="L22" s="13">
        <f>DATOS_PIB!L22/DATOS_PIBPC!L22</f>
        <v>16148929.000000006</v>
      </c>
      <c r="M22" s="13">
        <f>DATOS_PIB!M22/DATOS_PIBPC!M22</f>
        <v>16225302.000000022</v>
      </c>
      <c r="N22" s="13">
        <f>DATOS_PIB!N22/DATOS_PIBPC!N22</f>
        <v>16281778.999999993</v>
      </c>
      <c r="O22" s="13">
        <f>DATOS_PIB!O22/DATOS_PIBPC!O22</f>
        <v>16319868.000000006</v>
      </c>
      <c r="P22" s="13">
        <f>DATOS_PIB!P22/DATOS_PIBPC!P22</f>
        <v>16346101.000000004</v>
      </c>
      <c r="Q22" s="13">
        <f>DATOS_PIB!Q22/DATOS_PIBPC!Q22</f>
        <v>16381696.00000002</v>
      </c>
      <c r="R22" s="13">
        <f>DATOS_PIB!R22/DATOS_PIBPC!R22</f>
        <v>16445593</v>
      </c>
      <c r="S22" s="13">
        <f>DATOS_PIB!S22/DATOS_PIBPC!S22</f>
        <v>16530388.000000007</v>
      </c>
      <c r="T22" s="13">
        <f>DATOS_PIB!T22/DATOS_PIBPC!T22</f>
        <v>16615393.999999994</v>
      </c>
      <c r="U22" s="13">
        <f>DATOS_PIB!U22/DATOS_PIBPC!U22</f>
        <v>16693073.999999981</v>
      </c>
      <c r="V22" s="13">
        <f>DATOS_PIB!V22/DATOS_PIBPC!V22</f>
        <v>16754961.999999974</v>
      </c>
      <c r="W22" s="13">
        <f>DATOS_PIB!W22/DATOS_PIBPC!W22</f>
        <v>16804432</v>
      </c>
      <c r="X22" s="13">
        <f>DATOS_PIB!X22/DATOS_PIBPC!X22</f>
        <v>16865007.999999996</v>
      </c>
      <c r="Y22" s="13">
        <f>DATOS_PIB!Y22/DATOS_PIBPC!Y22</f>
        <v>16939923</v>
      </c>
      <c r="Z22" s="13">
        <f>DATOS_PIB!Z22/DATOS_PIBPC!Z22</f>
        <v>17030313.999999985</v>
      </c>
      <c r="AA22" s="13">
        <f>DATOS_PIB!AA22/DATOS_PIBPC!AA22</f>
        <v>17131296.000000004</v>
      </c>
      <c r="AB22" s="13">
        <f>DATOS_PIB!AB22/DATOS_PIBPC!AB22</f>
        <v>17231623.999999993</v>
      </c>
      <c r="AC22" s="13">
        <f>DATOS_PIB!AC22/DATOS_PIBPC!AC22</f>
        <v>17344873.999999993</v>
      </c>
      <c r="AD22" s="13">
        <f>DATOS_PIB!AD22/DATOS_PIBPC!AD22</f>
        <v>17441499.999999996</v>
      </c>
      <c r="AE22" s="13">
        <f>DATOS_PIB!AE22/DATOS_PIBPC!AE22</f>
        <v>17533043.999999981</v>
      </c>
      <c r="AF22" s="13">
        <f>DATOS_PIB!AF22/DATOS_PIBPC!AF22</f>
        <v>17700981.999999993</v>
      </c>
      <c r="AG22" s="13">
        <f>DATOS_PIB!AG22/DATOS_PIBPC!AG22</f>
        <v>17877117.000000011</v>
      </c>
      <c r="AH22" s="13">
        <f>DATOS_PIB!AH22/DATOS_PIBPC!AH22</f>
        <v>17993485.000000004</v>
      </c>
    </row>
    <row r="23" spans="1:34" x14ac:dyDescent="0.35">
      <c r="A23" s="11" t="s">
        <v>64</v>
      </c>
      <c r="B23" s="11" t="s">
        <v>65</v>
      </c>
      <c r="C23" s="13">
        <f>DATOS_PIB!C23/DATOS_PIBPC!C23</f>
        <v>9964675.0000000242</v>
      </c>
      <c r="D23" s="13">
        <f>DATOS_PIB!D23/DATOS_PIBPC!D23</f>
        <v>9991525.0000000075</v>
      </c>
      <c r="E23" s="13">
        <f>DATOS_PIB!E23/DATOS_PIBPC!E23</f>
        <v>10026176.000000048</v>
      </c>
      <c r="F23" s="13">
        <f>DATOS_PIB!F23/DATOS_PIBPC!F23</f>
        <v>10063944.999999952</v>
      </c>
      <c r="G23" s="13">
        <f>DATOS_PIB!G23/DATOS_PIBPC!G23</f>
        <v>10108976.999999946</v>
      </c>
      <c r="H23" s="13">
        <f>DATOS_PIB!H23/DATOS_PIBPC!H23</f>
        <v>10160196.000000045</v>
      </c>
      <c r="I23" s="13">
        <f>DATOS_PIB!I23/DATOS_PIBPC!I23</f>
        <v>10217828.000000004</v>
      </c>
      <c r="J23" s="13">
        <f>DATOS_PIB!J23/DATOS_PIBPC!J23</f>
        <v>10289898.000000019</v>
      </c>
      <c r="K23" s="13">
        <f>DATOS_PIB!K23/DATOS_PIBPC!K23</f>
        <v>10362722.000000034</v>
      </c>
      <c r="L23" s="13">
        <f>DATOS_PIB!L23/DATOS_PIBPC!L23</f>
        <v>10419630.999999983</v>
      </c>
      <c r="M23" s="13">
        <f>DATOS_PIB!M23/DATOS_PIBPC!M23</f>
        <v>10458821.000000009</v>
      </c>
      <c r="N23" s="13">
        <f>DATOS_PIB!N23/DATOS_PIBPC!N23</f>
        <v>10483861.000000019</v>
      </c>
      <c r="O23" s="13">
        <f>DATOS_PIB!O23/DATOS_PIBPC!O23</f>
        <v>10503329.999999959</v>
      </c>
      <c r="P23" s="13">
        <f>DATOS_PIB!P23/DATOS_PIBPC!P23</f>
        <v>10522287.99999998</v>
      </c>
      <c r="Q23" s="13">
        <f>DATOS_PIB!Q23/DATOS_PIBPC!Q23</f>
        <v>10542964.00000003</v>
      </c>
      <c r="R23" s="13">
        <f>DATOS_PIB!R23/DATOS_PIBPC!R23</f>
        <v>10558176.999999981</v>
      </c>
      <c r="S23" s="13">
        <f>DATOS_PIB!S23/DATOS_PIBPC!S23</f>
        <v>10568247.000000019</v>
      </c>
      <c r="T23" s="13">
        <f>DATOS_PIB!T23/DATOS_PIBPC!T23</f>
        <v>10573100.000000002</v>
      </c>
      <c r="U23" s="13">
        <f>DATOS_PIB!U23/DATOS_PIBPC!U23</f>
        <v>10557560.00000003</v>
      </c>
      <c r="V23" s="13">
        <f>DATOS_PIB!V23/DATOS_PIBPC!V23</f>
        <v>10514843.999999991</v>
      </c>
      <c r="W23" s="13">
        <f>DATOS_PIB!W23/DATOS_PIBPC!W23</f>
        <v>10457295.000000024</v>
      </c>
      <c r="X23" s="13">
        <f>DATOS_PIB!X23/DATOS_PIBPC!X23</f>
        <v>10401062.00000002</v>
      </c>
      <c r="Y23" s="13">
        <f>DATOS_PIB!Y23/DATOS_PIBPC!Y23</f>
        <v>10358075.999999972</v>
      </c>
      <c r="Z23" s="13">
        <f>DATOS_PIB!Z23/DATOS_PIBPC!Z23</f>
        <v>10325452.000000007</v>
      </c>
      <c r="AA23" s="13">
        <f>DATOS_PIB!AA23/DATOS_PIBPC!AA23</f>
        <v>10300299.999999978</v>
      </c>
      <c r="AB23" s="13">
        <f>DATOS_PIB!AB23/DATOS_PIBPC!AB23</f>
        <v>10283821.999999972</v>
      </c>
      <c r="AC23" s="13">
        <f>DATOS_PIB!AC23/DATOS_PIBPC!AC23</f>
        <v>10286263.000000024</v>
      </c>
      <c r="AD23" s="13">
        <f>DATOS_PIB!AD23/DATOS_PIBPC!AD23</f>
        <v>10297080.999999994</v>
      </c>
      <c r="AE23" s="13">
        <f>DATOS_PIB!AE23/DATOS_PIBPC!AE23</f>
        <v>10361831.000000034</v>
      </c>
      <c r="AF23" s="13">
        <f>DATOS_PIB!AF23/DATOS_PIBPC!AF23</f>
        <v>10434332.000000013</v>
      </c>
      <c r="AG23" s="13">
        <f>DATOS_PIB!AG23/DATOS_PIBPC!AG23</f>
        <v>10578174.000000024</v>
      </c>
      <c r="AH23" s="13">
        <f>DATOS_PIB!AH23/DATOS_PIBPC!AH23</f>
        <v>10694680.999999987</v>
      </c>
    </row>
    <row r="24" spans="1:34" x14ac:dyDescent="0.35">
      <c r="A24" s="11" t="s">
        <v>66</v>
      </c>
      <c r="B24" s="11" t="s">
        <v>67</v>
      </c>
      <c r="C24" s="13">
        <f>DATOS_PIB!C24/DATOS_PIBPC!C24</f>
        <v>259919000.00000054</v>
      </c>
      <c r="D24" s="13">
        <f>DATOS_PIB!D24/DATOS_PIBPC!D24</f>
        <v>263125999.99999908</v>
      </c>
      <c r="E24" s="13">
        <f>DATOS_PIB!E24/DATOS_PIBPC!E24</f>
        <v>266278000.00000006</v>
      </c>
      <c r="F24" s="13">
        <f>DATOS_PIB!F24/DATOS_PIBPC!F24</f>
        <v>269393999.99999994</v>
      </c>
      <c r="G24" s="13">
        <f>DATOS_PIB!G24/DATOS_PIBPC!G24</f>
        <v>272657000.0000006</v>
      </c>
      <c r="H24" s="13">
        <f>DATOS_PIB!H24/DATOS_PIBPC!H24</f>
        <v>275854000.00000072</v>
      </c>
      <c r="I24" s="13">
        <f>DATOS_PIB!I24/DATOS_PIBPC!I24</f>
        <v>279039999.99999946</v>
      </c>
      <c r="J24" s="13">
        <f>DATOS_PIB!J24/DATOS_PIBPC!J24</f>
        <v>282162410.99999934</v>
      </c>
      <c r="K24" s="13">
        <f>DATOS_PIB!K24/DATOS_PIBPC!K24</f>
        <v>284968954.99999905</v>
      </c>
      <c r="L24" s="13">
        <f>DATOS_PIB!L24/DATOS_PIBPC!L24</f>
        <v>287625192.99999958</v>
      </c>
      <c r="M24" s="13">
        <f>DATOS_PIB!M24/DATOS_PIBPC!M24</f>
        <v>290107933.00000036</v>
      </c>
      <c r="N24" s="13">
        <f>DATOS_PIB!N24/DATOS_PIBPC!N24</f>
        <v>292805298.00000101</v>
      </c>
      <c r="O24" s="13">
        <f>DATOS_PIB!O24/DATOS_PIBPC!O24</f>
        <v>295516599.00000024</v>
      </c>
      <c r="P24" s="13">
        <f>DATOS_PIB!P24/DATOS_PIBPC!P24</f>
        <v>298379911.99999964</v>
      </c>
      <c r="Q24" s="13">
        <f>DATOS_PIB!Q24/DATOS_PIBPC!Q24</f>
        <v>301231207.00000024</v>
      </c>
      <c r="R24" s="13">
        <f>DATOS_PIB!R24/DATOS_PIBPC!R24</f>
        <v>304093965.99999976</v>
      </c>
      <c r="S24" s="13">
        <f>DATOS_PIB!S24/DATOS_PIBPC!S24</f>
        <v>306771528.99999905</v>
      </c>
      <c r="T24" s="13">
        <f>DATOS_PIB!T24/DATOS_PIBPC!T24</f>
        <v>309378227.00000083</v>
      </c>
      <c r="U24" s="13">
        <f>DATOS_PIB!U24/DATOS_PIBPC!U24</f>
        <v>311839461.0000003</v>
      </c>
      <c r="V24" s="13">
        <f>DATOS_PIB!V24/DATOS_PIBPC!V24</f>
        <v>314339099.00000066</v>
      </c>
      <c r="W24" s="13">
        <f>DATOS_PIB!W24/DATOS_PIBPC!W24</f>
        <v>316726281.99999964</v>
      </c>
      <c r="X24" s="13">
        <f>DATOS_PIB!X24/DATOS_PIBPC!X24</f>
        <v>319257560.0000006</v>
      </c>
      <c r="Y24" s="13">
        <f>DATOS_PIB!Y24/DATOS_PIBPC!Y24</f>
        <v>321815121.00000018</v>
      </c>
      <c r="Z24" s="13">
        <f>DATOS_PIB!Z24/DATOS_PIBPC!Z24</f>
        <v>324353340.0000006</v>
      </c>
      <c r="AA24" s="13">
        <f>DATOS_PIB!AA24/DATOS_PIBPC!AA24</f>
        <v>326608609.00000054</v>
      </c>
      <c r="AB24" s="13">
        <f>DATOS_PIB!AB24/DATOS_PIBPC!AB24</f>
        <v>328529577.00000066</v>
      </c>
      <c r="AC24" s="13">
        <f>DATOS_PIB!AC24/DATOS_PIBPC!AC24</f>
        <v>330226227.00000054</v>
      </c>
      <c r="AD24" s="13">
        <f>DATOS_PIB!AD24/DATOS_PIBPC!AD24</f>
        <v>331577720.00000095</v>
      </c>
      <c r="AE24" s="13">
        <f>DATOS_PIB!AE24/DATOS_PIBPC!AE24</f>
        <v>332099760</v>
      </c>
      <c r="AF24" s="13">
        <f>DATOS_PIB!AF24/DATOS_PIBPC!AF24</f>
        <v>334017321.00000018</v>
      </c>
      <c r="AG24" s="13">
        <f>DATOS_PIB!AG24/DATOS_PIBPC!AG24</f>
        <v>336806230.99999958</v>
      </c>
      <c r="AH24" s="13">
        <f>DATOS_PIB!AH24/DATOS_PIBPC!AH24</f>
        <v>340110987.99999982</v>
      </c>
    </row>
    <row r="25" spans="1:34" x14ac:dyDescent="0.35">
      <c r="A25" s="11" t="s">
        <v>68</v>
      </c>
      <c r="B25" s="11" t="s">
        <v>69</v>
      </c>
      <c r="C25" s="13">
        <f>DATOS_PIB!C25/DATOS_PIBPC!C25</f>
        <v>57718614.000000156</v>
      </c>
      <c r="D25" s="13">
        <f>DATOS_PIB!D25/DATOS_PIBPC!D25</f>
        <v>57865745.000000112</v>
      </c>
      <c r="E25" s="13">
        <f>DATOS_PIB!E25/DATOS_PIBPC!E25</f>
        <v>58019029.999999925</v>
      </c>
      <c r="F25" s="13">
        <f>DATOS_PIB!F25/DATOS_PIBPC!F25</f>
        <v>58166950.000000045</v>
      </c>
      <c r="G25" s="13">
        <f>DATOS_PIB!G25/DATOS_PIBPC!G25</f>
        <v>58316953.999999911</v>
      </c>
      <c r="H25" s="13">
        <f>DATOS_PIB!H25/DATOS_PIBPC!H25</f>
        <v>58487141.000000119</v>
      </c>
      <c r="I25" s="13">
        <f>DATOS_PIB!I25/DATOS_PIBPC!I25</f>
        <v>58682465.999999963</v>
      </c>
      <c r="J25" s="13">
        <f>DATOS_PIB!J25/DATOS_PIBPC!J25</f>
        <v>58892514.00000006</v>
      </c>
      <c r="K25" s="13">
        <f>DATOS_PIB!K25/DATOS_PIBPC!K25</f>
        <v>59119672.999999985</v>
      </c>
      <c r="L25" s="13">
        <f>DATOS_PIB!L25/DATOS_PIBPC!L25</f>
        <v>59370479.000000104</v>
      </c>
      <c r="M25" s="13">
        <f>DATOS_PIB!M25/DATOS_PIBPC!M25</f>
        <v>59647577.000000022</v>
      </c>
      <c r="N25" s="13">
        <f>DATOS_PIB!N25/DATOS_PIBPC!N25</f>
        <v>59987905.000000149</v>
      </c>
      <c r="O25" s="13">
        <f>DATOS_PIB!O25/DATOS_PIBPC!O25</f>
        <v>60401206.000000127</v>
      </c>
      <c r="P25" s="13">
        <f>DATOS_PIB!P25/DATOS_PIBPC!P25</f>
        <v>60846819.999999978</v>
      </c>
      <c r="Q25" s="13">
        <f>DATOS_PIB!Q25/DATOS_PIBPC!Q25</f>
        <v>61322462.999999925</v>
      </c>
      <c r="R25" s="13">
        <f>DATOS_PIB!R25/DATOS_PIBPC!R25</f>
        <v>61806994.999999888</v>
      </c>
      <c r="S25" s="13">
        <f>DATOS_PIB!S25/DATOS_PIBPC!S25</f>
        <v>62276270</v>
      </c>
      <c r="T25" s="13">
        <f>DATOS_PIB!T25/DATOS_PIBPC!T25</f>
        <v>62766365.000000142</v>
      </c>
      <c r="U25" s="13">
        <f>DATOS_PIB!U25/DATOS_PIBPC!U25</f>
        <v>63258809.999999925</v>
      </c>
      <c r="V25" s="13">
        <f>DATOS_PIB!V25/DATOS_PIBPC!V25</f>
        <v>63710999.999999851</v>
      </c>
      <c r="W25" s="13">
        <f>DATOS_PIB!W25/DATOS_PIBPC!W25</f>
        <v>64139000.000000045</v>
      </c>
      <c r="X25" s="13">
        <f>DATOS_PIB!X25/DATOS_PIBPC!X25</f>
        <v>64620000.000000052</v>
      </c>
      <c r="Y25" s="13">
        <f>DATOS_PIB!Y25/DATOS_PIBPC!Y25</f>
        <v>65087999.999999978</v>
      </c>
      <c r="Z25" s="13">
        <f>DATOS_PIB!Z25/DATOS_PIBPC!Z25</f>
        <v>65607000.00000003</v>
      </c>
      <c r="AA25" s="13">
        <f>DATOS_PIB!AA25/DATOS_PIBPC!AA25</f>
        <v>65966000.000000097</v>
      </c>
      <c r="AB25" s="13">
        <f>DATOS_PIB!AB25/DATOS_PIBPC!AB25</f>
        <v>66288999.999999978</v>
      </c>
      <c r="AC25" s="13">
        <f>DATOS_PIB!AC25/DATOS_PIBPC!AC25</f>
        <v>66630999.999999963</v>
      </c>
      <c r="AD25" s="13">
        <f>DATOS_PIB!AD25/DATOS_PIBPC!AD25</f>
        <v>66744000.000000097</v>
      </c>
      <c r="AE25" s="13">
        <f>DATOS_PIB!AE25/DATOS_PIBPC!AE25</f>
        <v>66984000.000000052</v>
      </c>
      <c r="AF25" s="13">
        <f>DATOS_PIB!AF25/DATOS_PIBPC!AF25</f>
        <v>67603999.999999955</v>
      </c>
      <c r="AG25" s="13">
        <f>DATOS_PIB!AG25/DATOS_PIBPC!AG25</f>
        <v>68491999.999999911</v>
      </c>
      <c r="AH25" s="13">
        <f>DATOS_PIB!AH25/DATOS_PIBPC!AH25</f>
        <v>69226000.000000015</v>
      </c>
    </row>
  </sheetData>
  <mergeCells count="1">
    <mergeCell ref="A1:A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25"/>
  <sheetViews>
    <sheetView zoomScaleNormal="100" workbookViewId="0">
      <pane xSplit="2" ySplit="3" topLeftCell="C4" activePane="bottomRight" state="frozen"/>
      <selection pane="topRight" activeCell="C1" sqref="C1"/>
      <selection pane="bottomLeft" activeCell="A4" sqref="A4"/>
      <selection pane="bottomRight" sqref="A1:AH1"/>
    </sheetView>
  </sheetViews>
  <sheetFormatPr baseColWidth="10" defaultColWidth="8.6328125" defaultRowHeight="14.5" x14ac:dyDescent="0.35"/>
  <cols>
    <col min="1" max="1" width="9" customWidth="1"/>
    <col min="2" max="2" width="18" customWidth="1"/>
    <col min="3" max="34" width="9" customWidth="1"/>
  </cols>
  <sheetData>
    <row r="1" spans="1:34" ht="18.649999999999999" customHeight="1" x14ac:dyDescent="0.35">
      <c r="A1" s="4" t="s">
        <v>72</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row>
    <row r="3" spans="1:34" x14ac:dyDescent="0.35">
      <c r="A3" s="10" t="s">
        <v>24</v>
      </c>
      <c r="B3" s="10" t="s">
        <v>25</v>
      </c>
      <c r="C3" s="10">
        <v>1993</v>
      </c>
      <c r="D3" s="10">
        <v>1994</v>
      </c>
      <c r="E3" s="10">
        <v>1995</v>
      </c>
      <c r="F3" s="10">
        <v>1996</v>
      </c>
      <c r="G3" s="10">
        <v>1997</v>
      </c>
      <c r="H3" s="10">
        <v>1998</v>
      </c>
      <c r="I3" s="10">
        <v>1999</v>
      </c>
      <c r="J3" s="10">
        <v>2000</v>
      </c>
      <c r="K3" s="10">
        <v>2001</v>
      </c>
      <c r="L3" s="10">
        <v>2002</v>
      </c>
      <c r="M3" s="10">
        <v>2003</v>
      </c>
      <c r="N3" s="10">
        <v>2004</v>
      </c>
      <c r="O3" s="10">
        <v>2005</v>
      </c>
      <c r="P3" s="10">
        <v>2006</v>
      </c>
      <c r="Q3" s="10">
        <v>2007</v>
      </c>
      <c r="R3" s="10">
        <v>2008</v>
      </c>
      <c r="S3" s="10">
        <v>2009</v>
      </c>
      <c r="T3" s="10">
        <v>2010</v>
      </c>
      <c r="U3" s="10">
        <v>2011</v>
      </c>
      <c r="V3" s="10">
        <v>2012</v>
      </c>
      <c r="W3" s="10">
        <v>2013</v>
      </c>
      <c r="X3" s="10">
        <v>2014</v>
      </c>
      <c r="Y3" s="10">
        <v>2015</v>
      </c>
      <c r="Z3" s="10">
        <v>2016</v>
      </c>
      <c r="AA3" s="10">
        <v>2017</v>
      </c>
      <c r="AB3" s="10">
        <v>2018</v>
      </c>
      <c r="AC3" s="10">
        <v>2019</v>
      </c>
      <c r="AD3" s="10">
        <v>2020</v>
      </c>
      <c r="AE3" s="10">
        <v>2021</v>
      </c>
      <c r="AF3" s="10">
        <v>2022</v>
      </c>
      <c r="AG3" s="10">
        <v>2023</v>
      </c>
      <c r="AH3" s="10">
        <v>2024</v>
      </c>
    </row>
    <row r="4" spans="1:34" x14ac:dyDescent="0.35">
      <c r="A4" s="11" t="s">
        <v>26</v>
      </c>
      <c r="B4" s="11" t="s">
        <v>27</v>
      </c>
      <c r="C4" s="14">
        <v>4.4745765075280799</v>
      </c>
      <c r="D4" s="14">
        <v>2.6930563985495399</v>
      </c>
      <c r="E4" s="14">
        <v>1.7061604131707599</v>
      </c>
      <c r="F4" s="14">
        <v>1.4497270196323799</v>
      </c>
      <c r="G4" s="14">
        <v>1.93937198922729</v>
      </c>
      <c r="H4" s="14">
        <v>0.91118353501440297</v>
      </c>
      <c r="I4" s="14">
        <v>0.58543306423078301</v>
      </c>
      <c r="J4" s="14">
        <v>1.44026838719741</v>
      </c>
      <c r="K4" s="14">
        <v>1.9838573133447099</v>
      </c>
      <c r="L4" s="14">
        <v>1.42080615551526</v>
      </c>
      <c r="M4" s="14">
        <v>1.03422218628562</v>
      </c>
      <c r="N4" s="14">
        <v>1.66573696655991</v>
      </c>
      <c r="O4" s="14">
        <v>1.54691114751328</v>
      </c>
      <c r="P4" s="14">
        <v>1.5774264284056301</v>
      </c>
      <c r="Q4" s="14">
        <v>2.2983440070094998</v>
      </c>
      <c r="R4" s="14">
        <v>2.6283798163721901</v>
      </c>
      <c r="S4" s="14">
        <v>0.31273900736844601</v>
      </c>
      <c r="T4" s="14">
        <v>1.1038103778926001</v>
      </c>
      <c r="U4" s="14">
        <v>2.0751728373587399</v>
      </c>
      <c r="V4" s="14">
        <v>2.0084888478295602</v>
      </c>
      <c r="W4" s="14">
        <v>1.5047233025187601</v>
      </c>
      <c r="X4" s="14">
        <v>0.90679400043424496</v>
      </c>
      <c r="Y4" s="14">
        <v>0.51442613712545604</v>
      </c>
      <c r="Z4" s="14">
        <v>0.49174700844517399</v>
      </c>
      <c r="AA4" s="14">
        <v>1.50949485109628</v>
      </c>
      <c r="AB4" s="14">
        <v>1.73216879766941</v>
      </c>
      <c r="AC4" s="14">
        <v>1.4456597688825299</v>
      </c>
      <c r="AD4" s="14">
        <v>0.14487792581398101</v>
      </c>
      <c r="AE4" s="14">
        <v>3.0666666666667299</v>
      </c>
      <c r="AF4" s="14">
        <v>6.8725743855109602</v>
      </c>
      <c r="AG4" s="14">
        <v>5.9464366772582302</v>
      </c>
      <c r="AH4" s="14">
        <v>2.2564981433876001</v>
      </c>
    </row>
    <row r="5" spans="1:34" x14ac:dyDescent="0.35">
      <c r="A5" s="11" t="s">
        <v>28</v>
      </c>
      <c r="B5" s="11" t="s">
        <v>29</v>
      </c>
      <c r="C5" s="14">
        <v>3.6317852494317999</v>
      </c>
      <c r="D5" s="14">
        <v>2.9534093676108002</v>
      </c>
      <c r="E5" s="14">
        <v>2.2433663150089802</v>
      </c>
      <c r="F5" s="14">
        <v>1.8609711576043599</v>
      </c>
      <c r="G5" s="14">
        <v>1.3059785722769099</v>
      </c>
      <c r="H5" s="14">
        <v>0.92246719668084898</v>
      </c>
      <c r="I5" s="14">
        <v>0.56899376588552997</v>
      </c>
      <c r="J5" s="14">
        <v>2.3448628535728</v>
      </c>
      <c r="K5" s="14">
        <v>2.6500007727952899</v>
      </c>
      <c r="L5" s="14">
        <v>1.8103578776412801</v>
      </c>
      <c r="M5" s="14">
        <v>1.35555370896445</v>
      </c>
      <c r="N5" s="14">
        <v>2.0612061803286901</v>
      </c>
      <c r="O5" s="14">
        <v>2.29913785639285</v>
      </c>
      <c r="P5" s="14">
        <v>1.44154851119016</v>
      </c>
      <c r="Q5" s="14">
        <v>2.16855528800756</v>
      </c>
      <c r="R5" s="14">
        <v>3.2159503323987901</v>
      </c>
      <c r="S5" s="14">
        <v>0.50630882769650398</v>
      </c>
      <c r="T5" s="14">
        <v>1.81353438995061</v>
      </c>
      <c r="U5" s="14">
        <v>3.2865791487538001</v>
      </c>
      <c r="V5" s="14">
        <v>2.4856756217701399</v>
      </c>
      <c r="W5" s="14">
        <v>2.0001561690059702</v>
      </c>
      <c r="X5" s="14">
        <v>1.6058118295447299</v>
      </c>
      <c r="Y5" s="14">
        <v>0.89656333526031895</v>
      </c>
      <c r="Z5" s="14">
        <v>0.89159175265536195</v>
      </c>
      <c r="AA5" s="14">
        <v>2.0812691138558601</v>
      </c>
      <c r="AB5" s="14">
        <v>1.9983798142954801</v>
      </c>
      <c r="AC5" s="14">
        <v>1.5308956415264301</v>
      </c>
      <c r="AD5" s="14">
        <v>1.3819106335185301</v>
      </c>
      <c r="AE5" s="14">
        <v>2.7666666666666999</v>
      </c>
      <c r="AF5" s="14">
        <v>8.5468699318845704</v>
      </c>
      <c r="AG5" s="14">
        <v>7.8141341700283098</v>
      </c>
      <c r="AH5" s="14">
        <v>2.9379157427937499</v>
      </c>
    </row>
    <row r="6" spans="1:34" x14ac:dyDescent="0.35">
      <c r="A6" s="11" t="s">
        <v>30</v>
      </c>
      <c r="B6" s="11" t="s">
        <v>31</v>
      </c>
      <c r="C6" s="14">
        <v>2.7544264347346199</v>
      </c>
      <c r="D6" s="14">
        <v>2.3775408447639998</v>
      </c>
      <c r="E6" s="14">
        <v>1.46796699090271</v>
      </c>
      <c r="F6" s="14">
        <v>2.0770210735067498</v>
      </c>
      <c r="G6" s="14">
        <v>1.6281604951295401</v>
      </c>
      <c r="H6" s="14">
        <v>0.94925028835060998</v>
      </c>
      <c r="I6" s="14">
        <v>1.12084823417847</v>
      </c>
      <c r="J6" s="14">
        <v>2.5445177619089998</v>
      </c>
      <c r="K6" s="14">
        <v>2.4692582308608202</v>
      </c>
      <c r="L6" s="14">
        <v>1.6452143617535999</v>
      </c>
      <c r="M6" s="14">
        <v>1.5889639997037099</v>
      </c>
      <c r="N6" s="14">
        <v>2.0972831123931499</v>
      </c>
      <c r="O6" s="14">
        <v>2.78143263670029</v>
      </c>
      <c r="P6" s="14">
        <v>1.7912077007045299</v>
      </c>
      <c r="Q6" s="14">
        <v>1.82305630026809</v>
      </c>
      <c r="R6" s="14">
        <v>4.4894442050840402</v>
      </c>
      <c r="S6" s="14">
        <v>-5.3145674125417597E-2</v>
      </c>
      <c r="T6" s="14">
        <v>2.18929920422458</v>
      </c>
      <c r="U6" s="14">
        <v>3.5320821072273998</v>
      </c>
      <c r="V6" s="14">
        <v>2.8396634344589899</v>
      </c>
      <c r="W6" s="14">
        <v>1.1130959402753899</v>
      </c>
      <c r="X6" s="14">
        <v>0.340002833356921</v>
      </c>
      <c r="Y6" s="14">
        <v>0.56142915279015704</v>
      </c>
      <c r="Z6" s="14">
        <v>1.97385264653162</v>
      </c>
      <c r="AA6" s="14">
        <v>2.1259708600261602</v>
      </c>
      <c r="AB6" s="14">
        <v>2.0531649986517699</v>
      </c>
      <c r="AC6" s="14">
        <v>1.43681956996438</v>
      </c>
      <c r="AD6" s="14">
        <v>0.74079181222034296</v>
      </c>
      <c r="AE6" s="14">
        <v>2.4402485114408399</v>
      </c>
      <c r="AF6" s="14">
        <v>9.5975117287249994</v>
      </c>
      <c r="AG6" s="14">
        <v>4.0490107761394096</v>
      </c>
      <c r="AH6" s="14">
        <v>3.1434913650004099</v>
      </c>
    </row>
    <row r="7" spans="1:34" x14ac:dyDescent="0.35">
      <c r="A7" s="11" t="s">
        <v>32</v>
      </c>
      <c r="B7" s="11" t="s">
        <v>33</v>
      </c>
      <c r="C7" s="14">
        <v>4.8541666666669201</v>
      </c>
      <c r="D7" s="14">
        <v>4.6985893105498002</v>
      </c>
      <c r="E7" s="14">
        <v>2.61581787956337</v>
      </c>
      <c r="F7" s="14">
        <v>2.9789248648126501</v>
      </c>
      <c r="G7" s="14">
        <v>3.6053444436462798</v>
      </c>
      <c r="H7" s="14">
        <v>2.2277073265431602</v>
      </c>
      <c r="I7" s="14">
        <v>1.6299999999999799</v>
      </c>
      <c r="J7" s="14">
        <v>4.1416576470206001</v>
      </c>
      <c r="K7" s="14">
        <v>1.97304191729914</v>
      </c>
      <c r="L7" s="14">
        <v>2.8011550518074602</v>
      </c>
      <c r="M7" s="14">
        <v>4.1390653868685803</v>
      </c>
      <c r="N7" s="14">
        <v>2.28621706801674</v>
      </c>
      <c r="O7" s="14">
        <v>2.5601613233023301</v>
      </c>
      <c r="P7" s="14">
        <v>2.3046873297855499</v>
      </c>
      <c r="Q7" s="14">
        <v>2.37265183669719</v>
      </c>
      <c r="R7" s="14">
        <v>4.6690084190248502</v>
      </c>
      <c r="S7" s="14">
        <v>0.32627665224979302</v>
      </c>
      <c r="T7" s="14">
        <v>2.43004084102254</v>
      </c>
      <c r="U7" s="14">
        <v>3.28944939564211</v>
      </c>
      <c r="V7" s="14">
        <v>2.3890541004231598</v>
      </c>
      <c r="W7" s="14">
        <v>-0.39935767646442499</v>
      </c>
      <c r="X7" s="14">
        <v>-1.3549888544631401</v>
      </c>
      <c r="Y7" s="14">
        <v>-2.0969976905310999</v>
      </c>
      <c r="Z7" s="14">
        <v>-1.42916666666665</v>
      </c>
      <c r="AA7" s="14">
        <v>0.53176649617446703</v>
      </c>
      <c r="AB7" s="14">
        <v>1.43549119531759</v>
      </c>
      <c r="AC7" s="14">
        <v>0.250370996758493</v>
      </c>
      <c r="AD7" s="14">
        <v>-0.63842279797895796</v>
      </c>
      <c r="AE7" s="14">
        <v>2.4460886717547399</v>
      </c>
      <c r="AF7" s="14">
        <v>8.3954829799333393</v>
      </c>
      <c r="AG7" s="14">
        <v>3.54134188751663</v>
      </c>
      <c r="AH7" s="14">
        <v>1.80023018624815</v>
      </c>
    </row>
    <row r="8" spans="1:34" x14ac:dyDescent="0.35">
      <c r="A8" s="11" t="s">
        <v>34</v>
      </c>
      <c r="B8" s="11" t="s">
        <v>35</v>
      </c>
      <c r="C8" s="14">
        <v>1500</v>
      </c>
      <c r="D8" s="14">
        <v>107.327586206896</v>
      </c>
      <c r="E8" s="14">
        <v>3.9501039501040198</v>
      </c>
      <c r="F8" s="14">
        <v>4.2999999999999501</v>
      </c>
      <c r="G8" s="14">
        <v>4.1706615532118798</v>
      </c>
      <c r="H8" s="14">
        <v>6.39668660837554</v>
      </c>
      <c r="I8" s="14">
        <v>4.01913875598086</v>
      </c>
      <c r="J8" s="14">
        <v>4.6113155473780099</v>
      </c>
      <c r="K8" s="14">
        <v>3.77670246665889</v>
      </c>
      <c r="L8" s="14">
        <v>1.6717843739338301</v>
      </c>
      <c r="M8" s="14">
        <v>1.76733780760629</v>
      </c>
      <c r="N8" s="14">
        <v>2.0553967905032802</v>
      </c>
      <c r="O8" s="14">
        <v>3.3171782444804498</v>
      </c>
      <c r="P8" s="14">
        <v>3.1898259147294898</v>
      </c>
      <c r="Q8" s="14">
        <v>2.8992827558338798</v>
      </c>
      <c r="R8" s="14">
        <v>6.0769683879835403</v>
      </c>
      <c r="S8" s="14">
        <v>2.3785284590467399</v>
      </c>
      <c r="T8" s="14">
        <v>1.0305550533357399</v>
      </c>
      <c r="U8" s="14">
        <v>2.2727272727273</v>
      </c>
      <c r="V8" s="14">
        <v>3.4120734908135799</v>
      </c>
      <c r="W8" s="14">
        <v>2.21658206429779</v>
      </c>
      <c r="X8" s="14">
        <v>-0.215196159576268</v>
      </c>
      <c r="Y8" s="14">
        <v>-0.46449900464491101</v>
      </c>
      <c r="Z8" s="14">
        <v>-1.12500000000002</v>
      </c>
      <c r="AA8" s="14">
        <v>1.12937210282347</v>
      </c>
      <c r="AB8" s="14">
        <v>1.5001250104175601</v>
      </c>
      <c r="AC8" s="14">
        <v>0.77182034649801901</v>
      </c>
      <c r="AD8" s="14">
        <v>0.154811374562106</v>
      </c>
      <c r="AE8" s="14">
        <v>2.5545069964204101</v>
      </c>
      <c r="AF8" s="14">
        <v>10.780580675868601</v>
      </c>
      <c r="AG8" s="14">
        <v>7.9412817758683003</v>
      </c>
      <c r="AH8" s="14">
        <v>2.9720047764361799</v>
      </c>
    </row>
    <row r="9" spans="1:34" x14ac:dyDescent="0.35">
      <c r="A9" s="11" t="s">
        <v>36</v>
      </c>
      <c r="B9" s="11" t="s">
        <v>37</v>
      </c>
      <c r="C9" s="14">
        <v>23.287027664545001</v>
      </c>
      <c r="D9" s="14">
        <v>13.4155203422246</v>
      </c>
      <c r="E9" s="14">
        <v>9.8410957983774807</v>
      </c>
      <c r="F9" s="14">
        <v>5.77582786155949</v>
      </c>
      <c r="G9" s="14">
        <v>6.1419899959565196</v>
      </c>
      <c r="H9" s="14">
        <v>6.6656512319582397</v>
      </c>
      <c r="I9" s="14">
        <v>10.570441607522501</v>
      </c>
      <c r="J9" s="14">
        <v>12.0357805974299</v>
      </c>
      <c r="K9" s="14">
        <v>7.3296201911552998</v>
      </c>
      <c r="L9" s="14">
        <v>3.12714222984608</v>
      </c>
      <c r="M9" s="14">
        <v>8.5541430540664507</v>
      </c>
      <c r="N9" s="14">
        <v>7.5485008818342303</v>
      </c>
      <c r="O9" s="14">
        <v>2.70908494588384</v>
      </c>
      <c r="P9" s="14">
        <v>4.4833312044961096</v>
      </c>
      <c r="Q9" s="14">
        <v>2.7567237163814</v>
      </c>
      <c r="R9" s="14">
        <v>4.5981797632502799</v>
      </c>
      <c r="S9" s="14">
        <v>1.6151046405823799</v>
      </c>
      <c r="T9" s="14">
        <v>0.95701813297514304</v>
      </c>
      <c r="U9" s="14">
        <v>3.9192859914629001</v>
      </c>
      <c r="V9" s="14">
        <v>3.6061026352289001</v>
      </c>
      <c r="W9" s="14">
        <v>1.4004736896302501</v>
      </c>
      <c r="X9" s="14">
        <v>-7.6165329541987098E-2</v>
      </c>
      <c r="Y9" s="14">
        <v>-0.325219777427673</v>
      </c>
      <c r="Z9" s="14">
        <v>-0.52001019627826595</v>
      </c>
      <c r="AA9" s="14">
        <v>1.31194588223228</v>
      </c>
      <c r="AB9" s="14">
        <v>2.5140371288381198</v>
      </c>
      <c r="AC9" s="14">
        <v>2.66456133425431</v>
      </c>
      <c r="AD9" s="14">
        <v>1.9369412669422299</v>
      </c>
      <c r="AE9" s="14">
        <v>3.1496062992126799</v>
      </c>
      <c r="AF9" s="14">
        <v>12.774146363761099</v>
      </c>
      <c r="AG9" s="14">
        <v>10.5319476645211</v>
      </c>
      <c r="AH9" s="14">
        <v>2.7576090942427198</v>
      </c>
    </row>
    <row r="10" spans="1:34" x14ac:dyDescent="0.35">
      <c r="A10" s="11" t="s">
        <v>38</v>
      </c>
      <c r="B10" s="11" t="s">
        <v>39</v>
      </c>
      <c r="C10" s="14">
        <v>31.762130630593202</v>
      </c>
      <c r="D10" s="14">
        <v>20.991818047149799</v>
      </c>
      <c r="E10" s="14">
        <v>13.463729617866999</v>
      </c>
      <c r="F10" s="14">
        <v>9.8644506154685097</v>
      </c>
      <c r="G10" s="14">
        <v>8.3596799070430006</v>
      </c>
      <c r="H10" s="14">
        <v>7.8911668285668402</v>
      </c>
      <c r="I10" s="14">
        <v>6.1555875445155896</v>
      </c>
      <c r="J10" s="14">
        <v>8.9117441865876899</v>
      </c>
      <c r="K10" s="14">
        <v>8.3796658749220398</v>
      </c>
      <c r="L10" s="14">
        <v>7.4807777070375403</v>
      </c>
      <c r="M10" s="14">
        <v>5.5441642175290102</v>
      </c>
      <c r="N10" s="14">
        <v>3.59297594249509</v>
      </c>
      <c r="O10" s="14">
        <v>2.45150132316475</v>
      </c>
      <c r="P10" s="14">
        <v>2.4579244419586499</v>
      </c>
      <c r="Q10" s="14">
        <v>3.6574956328409902</v>
      </c>
      <c r="R10" s="14">
        <v>5.6474238057393498</v>
      </c>
      <c r="S10" s="14">
        <v>0.83926224679388695</v>
      </c>
      <c r="T10" s="14">
        <v>1.8011702213713401</v>
      </c>
      <c r="U10" s="14">
        <v>1.8028517194191001</v>
      </c>
      <c r="V10" s="14">
        <v>2.5974138603900299</v>
      </c>
      <c r="W10" s="14">
        <v>1.76920085881907</v>
      </c>
      <c r="X10" s="14">
        <v>0.19934382657075</v>
      </c>
      <c r="Y10" s="14">
        <v>-0.52555228582087699</v>
      </c>
      <c r="Z10" s="14">
        <v>-5.4999541670474002E-2</v>
      </c>
      <c r="AA10" s="14">
        <v>1.42910743319306</v>
      </c>
      <c r="AB10" s="14">
        <v>1.7386086198818</v>
      </c>
      <c r="AC10" s="14">
        <v>1.63052260754344</v>
      </c>
      <c r="AD10" s="14">
        <v>-5.4856815760610002E-2</v>
      </c>
      <c r="AE10" s="14">
        <v>1.9170650608926001</v>
      </c>
      <c r="AF10" s="14">
        <v>8.8336988674945207</v>
      </c>
      <c r="AG10" s="14">
        <v>7.4468771738583799</v>
      </c>
      <c r="AH10" s="14">
        <v>1.9656265643251301</v>
      </c>
    </row>
    <row r="11" spans="1:34" x14ac:dyDescent="0.35">
      <c r="A11" s="11" t="s">
        <v>40</v>
      </c>
      <c r="B11" s="11" t="s">
        <v>41</v>
      </c>
      <c r="C11" s="14">
        <v>4.5690717368181302</v>
      </c>
      <c r="D11" s="14">
        <v>4.7184137396732897</v>
      </c>
      <c r="E11" s="14">
        <v>4.6738033762470401</v>
      </c>
      <c r="F11" s="14">
        <v>3.5588455933855698</v>
      </c>
      <c r="G11" s="14">
        <v>1.97107395582926</v>
      </c>
      <c r="H11" s="14">
        <v>1.83432999908409</v>
      </c>
      <c r="I11" s="14">
        <v>2.31034813987067</v>
      </c>
      <c r="J11" s="14">
        <v>3.43351563418766</v>
      </c>
      <c r="K11" s="14">
        <v>3.5898341333811201</v>
      </c>
      <c r="L11" s="14">
        <v>3.06565685902219</v>
      </c>
      <c r="M11" s="14">
        <v>3.0388883939665501</v>
      </c>
      <c r="N11" s="14">
        <v>3.0392488109092399</v>
      </c>
      <c r="O11" s="14">
        <v>3.3688140975038299</v>
      </c>
      <c r="P11" s="14">
        <v>3.51557576832128</v>
      </c>
      <c r="Q11" s="14">
        <v>2.7867974580494499</v>
      </c>
      <c r="R11" s="14">
        <v>4.0753433595733899</v>
      </c>
      <c r="S11" s="14">
        <v>-0.28781308353523999</v>
      </c>
      <c r="T11" s="14">
        <v>1.79986457728768</v>
      </c>
      <c r="U11" s="14">
        <v>3.1961018883379002</v>
      </c>
      <c r="V11" s="14">
        <v>2.4461278236680801</v>
      </c>
      <c r="W11" s="14">
        <v>1.40858109183018</v>
      </c>
      <c r="X11" s="14">
        <v>-0.15111483752723401</v>
      </c>
      <c r="Y11" s="14">
        <v>-0.50036570990324203</v>
      </c>
      <c r="Z11" s="14">
        <v>-0.20259800042645201</v>
      </c>
      <c r="AA11" s="14">
        <v>1.9560763336396301</v>
      </c>
      <c r="AB11" s="14">
        <v>1.6749813686379</v>
      </c>
      <c r="AC11" s="14">
        <v>0.699518994458738</v>
      </c>
      <c r="AD11" s="14">
        <v>-0.32275301729973899</v>
      </c>
      <c r="AE11" s="14">
        <v>3.0931351197641899</v>
      </c>
      <c r="AF11" s="14">
        <v>8.3905763411862608</v>
      </c>
      <c r="AG11" s="14">
        <v>3.5323613349243201</v>
      </c>
      <c r="AH11" s="14">
        <v>2.7741782653477198</v>
      </c>
    </row>
    <row r="12" spans="1:34" x14ac:dyDescent="0.35">
      <c r="A12" s="11" t="s">
        <v>42</v>
      </c>
      <c r="B12" s="11" t="s">
        <v>43</v>
      </c>
      <c r="C12" s="14">
        <v>89.811949027727394</v>
      </c>
      <c r="D12" s="14">
        <v>47.6546906187628</v>
      </c>
      <c r="E12" s="14">
        <v>28.776613720851302</v>
      </c>
      <c r="F12" s="14">
        <v>23.050343349516901</v>
      </c>
      <c r="G12" s="14">
        <v>10.5818789322146</v>
      </c>
      <c r="H12" s="14">
        <v>8.2083333333329698</v>
      </c>
      <c r="I12" s="14">
        <v>3.2961108971890898</v>
      </c>
      <c r="J12" s="14">
        <v>4.01848952508763</v>
      </c>
      <c r="K12" s="14">
        <v>5.7482798165137297</v>
      </c>
      <c r="L12" s="14">
        <v>3.5719127016402599</v>
      </c>
      <c r="M12" s="14">
        <v>1.3349911654995501</v>
      </c>
      <c r="N12" s="14">
        <v>3.0481110752341598</v>
      </c>
      <c r="O12" s="14">
        <v>4.07971423199848</v>
      </c>
      <c r="P12" s="14">
        <v>4.4376204238921302</v>
      </c>
      <c r="Q12" s="14">
        <v>6.6013260305563701</v>
      </c>
      <c r="R12" s="14">
        <v>10.362358031368201</v>
      </c>
      <c r="S12" s="14">
        <v>-7.8408311280976806E-2</v>
      </c>
      <c r="T12" s="14">
        <v>2.9720451201569298</v>
      </c>
      <c r="U12" s="14">
        <v>4.9819013145361</v>
      </c>
      <c r="V12" s="14">
        <v>3.9333998729698498</v>
      </c>
      <c r="W12" s="14">
        <v>2.7805665895498701</v>
      </c>
      <c r="X12" s="14">
        <v>-0.10617514652170899</v>
      </c>
      <c r="Y12" s="14">
        <v>-0.49232600654737002</v>
      </c>
      <c r="Z12" s="14">
        <v>0.14868490762737199</v>
      </c>
      <c r="AA12" s="14">
        <v>3.4172354948805399</v>
      </c>
      <c r="AB12" s="14">
        <v>3.4363268842044601</v>
      </c>
      <c r="AC12" s="14">
        <v>2.2772593124352198</v>
      </c>
      <c r="AD12" s="14">
        <v>-0.44453109767982901</v>
      </c>
      <c r="AE12" s="14">
        <v>4.6531667384747202</v>
      </c>
      <c r="AF12" s="14">
        <v>19.398263408061599</v>
      </c>
      <c r="AG12" s="14">
        <v>9.1592250798398194</v>
      </c>
      <c r="AH12" s="14">
        <v>3.5194118998391999</v>
      </c>
    </row>
    <row r="13" spans="1:34" x14ac:dyDescent="0.35">
      <c r="A13" s="11" t="s">
        <v>44</v>
      </c>
      <c r="B13" s="11" t="s">
        <v>45</v>
      </c>
      <c r="C13" s="14">
        <v>2.19065319556436</v>
      </c>
      <c r="D13" s="14">
        <v>1.08855677589404</v>
      </c>
      <c r="E13" s="14">
        <v>0.79123940693849704</v>
      </c>
      <c r="F13" s="14">
        <v>0.62919423812096498</v>
      </c>
      <c r="G13" s="14">
        <v>1.1925588342583899</v>
      </c>
      <c r="H13" s="14">
        <v>1.3994737857984001</v>
      </c>
      <c r="I13" s="14">
        <v>1.1622315566944399</v>
      </c>
      <c r="J13" s="14">
        <v>3.0421008066779498</v>
      </c>
      <c r="K13" s="14">
        <v>2.5784408009889499</v>
      </c>
      <c r="L13" s="14">
        <v>1.5712201278937901</v>
      </c>
      <c r="M13" s="14">
        <v>0.87744038625478504</v>
      </c>
      <c r="N13" s="14">
        <v>0.18712055908441799</v>
      </c>
      <c r="O13" s="14">
        <v>0.62387445002519004</v>
      </c>
      <c r="P13" s="14">
        <v>1.5666638070438601</v>
      </c>
      <c r="Q13" s="14">
        <v>2.5106656524034001</v>
      </c>
      <c r="R13" s="14">
        <v>4.0659535535837898</v>
      </c>
      <c r="S13" s="14">
        <v>-9.1736038443034204E-7</v>
      </c>
      <c r="T13" s="14">
        <v>1.1841352315464599</v>
      </c>
      <c r="U13" s="14">
        <v>3.4168075425521098</v>
      </c>
      <c r="V13" s="14">
        <v>2.8083362256157298</v>
      </c>
      <c r="W13" s="14">
        <v>1.4782861568880901</v>
      </c>
      <c r="X13" s="14">
        <v>1.04119621178439</v>
      </c>
      <c r="Y13" s="14">
        <v>-0.207928839905268</v>
      </c>
      <c r="Z13" s="14">
        <v>0.35668450089169501</v>
      </c>
      <c r="AA13" s="14">
        <v>0.75401504708434597</v>
      </c>
      <c r="AB13" s="14">
        <v>1.0838209840930499</v>
      </c>
      <c r="AC13" s="14">
        <v>1.0240939296342999</v>
      </c>
      <c r="AD13" s="14">
        <v>0.29055455565323901</v>
      </c>
      <c r="AE13" s="14">
        <v>2.1945743234000701</v>
      </c>
      <c r="AF13" s="14">
        <v>7.1235077330140202</v>
      </c>
      <c r="AG13" s="14">
        <v>6.2506432215476204</v>
      </c>
      <c r="AH13" s="14">
        <v>1.5656890623161499</v>
      </c>
    </row>
    <row r="14" spans="1:34" x14ac:dyDescent="0.35">
      <c r="A14" s="11" t="s">
        <v>46</v>
      </c>
      <c r="B14" s="11" t="s">
        <v>47</v>
      </c>
      <c r="C14" s="14">
        <v>2.1044627712464199</v>
      </c>
      <c r="D14" s="14">
        <v>1.65551532926999</v>
      </c>
      <c r="E14" s="14">
        <v>1.7964814209558899</v>
      </c>
      <c r="F14" s="14">
        <v>1.9828836508973799</v>
      </c>
      <c r="G14" s="14">
        <v>1.20394294026963</v>
      </c>
      <c r="H14" s="14">
        <v>0.65112686783307205</v>
      </c>
      <c r="I14" s="14">
        <v>0.53714163913459601</v>
      </c>
      <c r="J14" s="14">
        <v>1.67595988720928</v>
      </c>
      <c r="K14" s="14">
        <v>1.6347807954959901</v>
      </c>
      <c r="L14" s="14">
        <v>1.9234122872706301</v>
      </c>
      <c r="M14" s="14">
        <v>2.09847219146919</v>
      </c>
      <c r="N14" s="14">
        <v>2.14208964640238</v>
      </c>
      <c r="O14" s="14">
        <v>1.7458693638048699</v>
      </c>
      <c r="P14" s="14">
        <v>1.67512449608726</v>
      </c>
      <c r="Q14" s="14">
        <v>1.48799805953859</v>
      </c>
      <c r="R14" s="14">
        <v>2.8128619491478499</v>
      </c>
      <c r="S14" s="14">
        <v>8.7620478157465306E-2</v>
      </c>
      <c r="T14" s="14">
        <v>1.53112270420918</v>
      </c>
      <c r="U14" s="14">
        <v>2.1115979517499999</v>
      </c>
      <c r="V14" s="14">
        <v>1.95419531613509</v>
      </c>
      <c r="W14" s="14">
        <v>0.86371549786180402</v>
      </c>
      <c r="X14" s="14">
        <v>0.50775882293798902</v>
      </c>
      <c r="Y14" s="14">
        <v>3.7514380512518097E-2</v>
      </c>
      <c r="Z14" s="14">
        <v>0.18333486112376399</v>
      </c>
      <c r="AA14" s="14">
        <v>1.03228275064681</v>
      </c>
      <c r="AB14" s="14">
        <v>1.8508150831549199</v>
      </c>
      <c r="AC14" s="14">
        <v>1.1082549228829299</v>
      </c>
      <c r="AD14" s="14">
        <v>0.47649885272506498</v>
      </c>
      <c r="AE14" s="14">
        <v>1.6423314103839299</v>
      </c>
      <c r="AF14" s="14">
        <v>5.2223674836972496</v>
      </c>
      <c r="AG14" s="14">
        <v>4.8783572650844</v>
      </c>
      <c r="AH14" s="14">
        <v>1.9990494229146201</v>
      </c>
    </row>
    <row r="15" spans="1:34" x14ac:dyDescent="0.35">
      <c r="A15" s="11" t="s">
        <v>48</v>
      </c>
      <c r="B15" s="11" t="s">
        <v>49</v>
      </c>
      <c r="C15" s="14">
        <v>14.4112644439349</v>
      </c>
      <c r="D15" s="14">
        <v>10.8740756809131</v>
      </c>
      <c r="E15" s="14">
        <v>8.9345141596151194</v>
      </c>
      <c r="F15" s="14">
        <v>8.1945521763272797</v>
      </c>
      <c r="G15" s="14">
        <v>5.5360026677348202</v>
      </c>
      <c r="H15" s="14">
        <v>4.7662257239764498</v>
      </c>
      <c r="I15" s="14">
        <v>2.6366330602198</v>
      </c>
      <c r="J15" s="14">
        <v>3.1511816249382698</v>
      </c>
      <c r="K15" s="14">
        <v>3.3739683221386501</v>
      </c>
      <c r="L15" s="14">
        <v>3.6293587187887399</v>
      </c>
      <c r="M15" s="14">
        <v>3.53065027765554</v>
      </c>
      <c r="N15" s="14">
        <v>2.8988481075816699</v>
      </c>
      <c r="O15" s="14">
        <v>3.5450727333507999</v>
      </c>
      <c r="P15" s="14">
        <v>3.1959468414454402</v>
      </c>
      <c r="Q15" s="14">
        <v>2.8950032151657799</v>
      </c>
      <c r="R15" s="14">
        <v>4.1527970811029</v>
      </c>
      <c r="S15" s="14">
        <v>1.21007269197809</v>
      </c>
      <c r="T15" s="14">
        <v>4.7129890776039502</v>
      </c>
      <c r="U15" s="14">
        <v>3.3298532335064999</v>
      </c>
      <c r="V15" s="14">
        <v>1.5015269617775799</v>
      </c>
      <c r="W15" s="14">
        <v>-0.92126945425689899</v>
      </c>
      <c r="X15" s="14">
        <v>-1.3122609640552501</v>
      </c>
      <c r="Y15" s="14">
        <v>-1.7358880476527501</v>
      </c>
      <c r="Z15" s="14">
        <v>-0.82565397839103305</v>
      </c>
      <c r="AA15" s="14">
        <v>1.1212545203142601</v>
      </c>
      <c r="AB15" s="14">
        <v>0.62562141345363997</v>
      </c>
      <c r="AC15" s="14">
        <v>0.25300752203805899</v>
      </c>
      <c r="AD15" s="14">
        <v>-1.24798355581405</v>
      </c>
      <c r="AE15" s="14">
        <v>1.22382501019854</v>
      </c>
      <c r="AF15" s="14">
        <v>9.6452598128064206</v>
      </c>
      <c r="AG15" s="14">
        <v>3.4648012851340502</v>
      </c>
      <c r="AH15" s="14">
        <v>2.7410187567947699</v>
      </c>
    </row>
    <row r="16" spans="1:34" x14ac:dyDescent="0.35">
      <c r="A16" s="11" t="s">
        <v>50</v>
      </c>
      <c r="B16" s="11" t="s">
        <v>51</v>
      </c>
      <c r="C16" s="14">
        <v>1.46941522411422</v>
      </c>
      <c r="D16" s="14">
        <v>2.3092019261095098</v>
      </c>
      <c r="E16" s="14">
        <v>2.5248644678080199</v>
      </c>
      <c r="F16" s="14">
        <v>1.75574469607419</v>
      </c>
      <c r="G16" s="14">
        <v>1.5418020226136999</v>
      </c>
      <c r="H16" s="14">
        <v>2.4076809453471499</v>
      </c>
      <c r="I16" s="14">
        <v>1.6298860522140699</v>
      </c>
      <c r="J16" s="14">
        <v>5.5776326994038703</v>
      </c>
      <c r="K16" s="14">
        <v>4.8528027960747702</v>
      </c>
      <c r="L16" s="14">
        <v>4.62820512820515</v>
      </c>
      <c r="M16" s="14">
        <v>3.4922190907976498</v>
      </c>
      <c r="N16" s="14">
        <v>2.1785460573052302</v>
      </c>
      <c r="O16" s="14">
        <v>2.45654692931639</v>
      </c>
      <c r="P16" s="14">
        <v>3.9357611400135402</v>
      </c>
      <c r="Q16" s="14">
        <v>4.8857453754080202</v>
      </c>
      <c r="R16" s="14">
        <v>4.0356883494139097</v>
      </c>
      <c r="S16" s="14">
        <v>-4.4475468687674597</v>
      </c>
      <c r="T16" s="14">
        <v>-0.918388645376774</v>
      </c>
      <c r="U16" s="14">
        <v>2.5489783020855001</v>
      </c>
      <c r="V16" s="14">
        <v>1.69474116680366</v>
      </c>
      <c r="W16" s="14">
        <v>0.515099484900573</v>
      </c>
      <c r="X16" s="14">
        <v>0.19091639871374499</v>
      </c>
      <c r="Y16" s="14">
        <v>-0.330959783371788</v>
      </c>
      <c r="Z16" s="14">
        <v>2.0124773596323701E-2</v>
      </c>
      <c r="AA16" s="14">
        <v>0.36217303822937802</v>
      </c>
      <c r="AB16" s="14">
        <v>0.47113071371291598</v>
      </c>
      <c r="AC16" s="14">
        <v>0.93784296118927402</v>
      </c>
      <c r="AD16" s="14">
        <v>-0.32618365128003302</v>
      </c>
      <c r="AE16" s="14">
        <v>2.3403411344704401</v>
      </c>
      <c r="AF16" s="14">
        <v>7.8294573643410503</v>
      </c>
      <c r="AG16" s="14">
        <v>6.2994248741912502</v>
      </c>
      <c r="AH16" s="14">
        <v>2.1134499957731698</v>
      </c>
    </row>
    <row r="17" spans="1:34" x14ac:dyDescent="0.35">
      <c r="A17" s="11" t="s">
        <v>52</v>
      </c>
      <c r="B17" s="11" t="s">
        <v>53</v>
      </c>
      <c r="C17" s="14">
        <v>4.6267346833129803</v>
      </c>
      <c r="D17" s="14">
        <v>4.0518421806571601</v>
      </c>
      <c r="E17" s="14">
        <v>5.2354225804430099</v>
      </c>
      <c r="F17" s="14">
        <v>4.0069766898103998</v>
      </c>
      <c r="G17" s="14">
        <v>2.0431077975013601</v>
      </c>
      <c r="H17" s="14">
        <v>1.95508557719381</v>
      </c>
      <c r="I17" s="14">
        <v>1.6634599500771401</v>
      </c>
      <c r="J17" s="14">
        <v>2.5376853209500201</v>
      </c>
      <c r="K17" s="14">
        <v>2.7851654271355399</v>
      </c>
      <c r="L17" s="14">
        <v>2.4653231917116498</v>
      </c>
      <c r="M17" s="14">
        <v>2.6725555277285</v>
      </c>
      <c r="N17" s="14">
        <v>2.2067366142365699</v>
      </c>
      <c r="O17" s="14">
        <v>1.9852929852798</v>
      </c>
      <c r="P17" s="14">
        <v>2.09084391012754</v>
      </c>
      <c r="Q17" s="14">
        <v>1.8297411220240301</v>
      </c>
      <c r="R17" s="14">
        <v>3.3478325840102201</v>
      </c>
      <c r="S17" s="14">
        <v>0.77476813138738099</v>
      </c>
      <c r="T17" s="14">
        <v>1.5255160211824801</v>
      </c>
      <c r="U17" s="14">
        <v>2.78063272879323</v>
      </c>
      <c r="V17" s="14">
        <v>3.0413633322677498</v>
      </c>
      <c r="W17" s="14">
        <v>1.21999342274306</v>
      </c>
      <c r="X17" s="14">
        <v>0.241047429826756</v>
      </c>
      <c r="Y17" s="14">
        <v>3.8790399657973297E-2</v>
      </c>
      <c r="Z17" s="14">
        <v>-9.4016656915749994E-2</v>
      </c>
      <c r="AA17" s="14">
        <v>1.22653316645812</v>
      </c>
      <c r="AB17" s="14">
        <v>1.1374876360039099</v>
      </c>
      <c r="AC17" s="14">
        <v>0.61124694376530397</v>
      </c>
      <c r="AD17" s="14">
        <v>-0.13770757391651001</v>
      </c>
      <c r="AE17" s="14">
        <v>1.8737832576248099</v>
      </c>
      <c r="AF17" s="14">
        <v>8.2012899116171791</v>
      </c>
      <c r="AG17" s="14">
        <v>5.6221944219590103</v>
      </c>
      <c r="AH17" s="14">
        <v>0.98237302306141705</v>
      </c>
    </row>
    <row r="18" spans="1:34" x14ac:dyDescent="0.35">
      <c r="A18" s="11" t="s">
        <v>54</v>
      </c>
      <c r="B18" s="11" t="s">
        <v>55</v>
      </c>
      <c r="C18" s="14">
        <v>108.989540624323</v>
      </c>
      <c r="D18" s="14">
        <v>35.924705392964299</v>
      </c>
      <c r="E18" s="14">
        <v>24.975935531674899</v>
      </c>
      <c r="F18" s="14">
        <v>17.610469843103299</v>
      </c>
      <c r="G18" s="14">
        <v>8.4473834209296097</v>
      </c>
      <c r="H18" s="14">
        <v>4.6442142266078301</v>
      </c>
      <c r="I18" s="14">
        <v>2.3648183611180502</v>
      </c>
      <c r="J18" s="14">
        <v>2.6542547779604799</v>
      </c>
      <c r="K18" s="14">
        <v>2.48704003555464</v>
      </c>
      <c r="L18" s="14">
        <v>1.93887573855886</v>
      </c>
      <c r="M18" s="14">
        <v>2.94264752948478</v>
      </c>
      <c r="N18" s="14">
        <v>6.1923854719742897</v>
      </c>
      <c r="O18" s="14">
        <v>6.7484502789312399</v>
      </c>
      <c r="P18" s="14">
        <v>6.5361990876587202</v>
      </c>
      <c r="Q18" s="14">
        <v>10.0929775849169</v>
      </c>
      <c r="R18" s="14">
        <v>15.4023191064986</v>
      </c>
      <c r="S18" s="14">
        <v>3.5341067285893502</v>
      </c>
      <c r="T18" s="14">
        <v>-1.0846359501515499</v>
      </c>
      <c r="U18" s="14">
        <v>4.3707355993922299</v>
      </c>
      <c r="V18" s="14">
        <v>2.25778924374585</v>
      </c>
      <c r="W18" s="14">
        <v>-2.9454778257827999E-2</v>
      </c>
      <c r="X18" s="14">
        <v>0.620490636732421</v>
      </c>
      <c r="Y18" s="14">
        <v>0.17424224362518601</v>
      </c>
      <c r="Z18" s="14">
        <v>0.140633334505327</v>
      </c>
      <c r="AA18" s="14">
        <v>2.9303631237466599</v>
      </c>
      <c r="AB18" s="14">
        <v>2.5344542418659799</v>
      </c>
      <c r="AC18" s="14">
        <v>2.8114092007562399</v>
      </c>
      <c r="AD18" s="14">
        <v>0.21906490484198499</v>
      </c>
      <c r="AE18" s="14">
        <v>3.27582937431165</v>
      </c>
      <c r="AF18" s="14">
        <v>17.310283019881499</v>
      </c>
      <c r="AG18" s="14">
        <v>8.9380462331663004</v>
      </c>
      <c r="AH18" s="14">
        <v>1.2657988582872901</v>
      </c>
    </row>
    <row r="19" spans="1:34" x14ac:dyDescent="0.35">
      <c r="A19" s="11" t="s">
        <v>56</v>
      </c>
      <c r="B19" s="11" t="s">
        <v>57</v>
      </c>
      <c r="C19" s="14">
        <v>410.45185856131599</v>
      </c>
      <c r="D19" s="14">
        <v>72.254681616442795</v>
      </c>
      <c r="E19" s="14">
        <v>39.647629032828902</v>
      </c>
      <c r="F19" s="14">
        <v>24.625195386449999</v>
      </c>
      <c r="G19" s="14">
        <v>8.8810484846589208</v>
      </c>
      <c r="H19" s="14">
        <v>5.0675538584196804</v>
      </c>
      <c r="I19" s="14">
        <v>0.72755062655742397</v>
      </c>
      <c r="J19" s="14">
        <v>0.98161547885759803</v>
      </c>
      <c r="K19" s="14">
        <v>1.36712030817819</v>
      </c>
      <c r="L19" s="14">
        <v>0.281506610345575</v>
      </c>
      <c r="M19" s="14">
        <v>-1.1343085499024701</v>
      </c>
      <c r="N19" s="14">
        <v>1.16410252104671</v>
      </c>
      <c r="O19" s="14">
        <v>2.65848484065262</v>
      </c>
      <c r="P19" s="14">
        <v>3.73912004060664</v>
      </c>
      <c r="Q19" s="14">
        <v>5.7371738279984301</v>
      </c>
      <c r="R19" s="14">
        <v>10.925885624165501</v>
      </c>
      <c r="S19" s="14">
        <v>4.4530445651853503</v>
      </c>
      <c r="T19" s="14">
        <v>1.3192136205546301</v>
      </c>
      <c r="U19" s="14">
        <v>4.1302756264508496</v>
      </c>
      <c r="V19" s="14">
        <v>3.0899827705541698</v>
      </c>
      <c r="W19" s="14">
        <v>1.04747937065344</v>
      </c>
      <c r="X19" s="14">
        <v>0.103758009433709</v>
      </c>
      <c r="Y19" s="14">
        <v>-0.88409740550059601</v>
      </c>
      <c r="Z19" s="14">
        <v>0.905525075460342</v>
      </c>
      <c r="AA19" s="14">
        <v>3.7228886230370701</v>
      </c>
      <c r="AB19" s="14">
        <v>2.6979277920839402</v>
      </c>
      <c r="AC19" s="14">
        <v>2.3345093798802701</v>
      </c>
      <c r="AD19" s="14">
        <v>1.19989444983569</v>
      </c>
      <c r="AE19" s="14">
        <v>4.6835442090345296</v>
      </c>
      <c r="AF19" s="14">
        <v>19.705046151839401</v>
      </c>
      <c r="AG19" s="14">
        <v>9.1173196239047503</v>
      </c>
      <c r="AH19" s="14">
        <v>0.71573583522872297</v>
      </c>
    </row>
    <row r="20" spans="1:34" x14ac:dyDescent="0.35">
      <c r="A20" s="11" t="s">
        <v>58</v>
      </c>
      <c r="B20" s="11" t="s">
        <v>59</v>
      </c>
      <c r="C20" s="14">
        <v>3.5880981853516398</v>
      </c>
      <c r="D20" s="14">
        <v>2.1947646868907</v>
      </c>
      <c r="E20" s="14">
        <v>1.86769424969105</v>
      </c>
      <c r="F20" s="14">
        <v>1.18385968843571</v>
      </c>
      <c r="G20" s="14">
        <v>1.3675126120794301</v>
      </c>
      <c r="H20" s="14">
        <v>0.958570110494674</v>
      </c>
      <c r="I20" s="14">
        <v>1.0251967647493201</v>
      </c>
      <c r="J20" s="14">
        <v>3.1507670702259198</v>
      </c>
      <c r="K20" s="14">
        <v>2.6638211057910302</v>
      </c>
      <c r="L20" s="14">
        <v>2.07408613571643</v>
      </c>
      <c r="M20" s="14">
        <v>2.0498403056351799</v>
      </c>
      <c r="N20" s="14">
        <v>2.22567916428889</v>
      </c>
      <c r="O20" s="14">
        <v>2.4876966516408801</v>
      </c>
      <c r="P20" s="14">
        <v>2.6663149457706901</v>
      </c>
      <c r="Q20" s="14">
        <v>2.31245861786127</v>
      </c>
      <c r="R20" s="14">
        <v>3.4018796302557099</v>
      </c>
      <c r="S20" s="14">
        <v>0.36804199788888697</v>
      </c>
      <c r="T20" s="14">
        <v>2.2736791162154</v>
      </c>
      <c r="U20" s="14">
        <v>3.4106834106834198</v>
      </c>
      <c r="V20" s="14">
        <v>2.6628416550802099</v>
      </c>
      <c r="W20" s="14">
        <v>1.7340396351916201</v>
      </c>
      <c r="X20" s="14">
        <v>0.62854398544071699</v>
      </c>
      <c r="Y20" s="14">
        <v>0.474743161437779</v>
      </c>
      <c r="Z20" s="14">
        <v>0.29083333333331701</v>
      </c>
      <c r="AA20" s="14">
        <v>1.7307995911888701</v>
      </c>
      <c r="AB20" s="14">
        <v>1.5281952430737999</v>
      </c>
      <c r="AC20" s="14">
        <v>1.7433207565384801</v>
      </c>
      <c r="AD20" s="14">
        <v>0.81995730212703599</v>
      </c>
      <c r="AE20" s="14">
        <v>2.52692009066166</v>
      </c>
      <c r="AF20" s="14">
        <v>6.3360080777791898</v>
      </c>
      <c r="AG20" s="14">
        <v>3.7414036198313601</v>
      </c>
      <c r="AH20" s="14">
        <v>2.0511326995485901</v>
      </c>
    </row>
    <row r="21" spans="1:34" x14ac:dyDescent="0.35">
      <c r="A21" s="11" t="s">
        <v>60</v>
      </c>
      <c r="B21" s="11" t="s">
        <v>61</v>
      </c>
      <c r="C21" s="14">
        <v>4.1448195418048801</v>
      </c>
      <c r="D21" s="14">
        <v>4.1299218163825904</v>
      </c>
      <c r="E21" s="14">
        <v>4.4266455028665401</v>
      </c>
      <c r="F21" s="14">
        <v>2.05400000000009</v>
      </c>
      <c r="G21" s="14">
        <v>3.1120779195327199</v>
      </c>
      <c r="H21" s="14">
        <v>2.3852513541766101</v>
      </c>
      <c r="I21" s="14">
        <v>2.13476888806386</v>
      </c>
      <c r="J21" s="14">
        <v>2.3695928753180602</v>
      </c>
      <c r="K21" s="14">
        <v>2.9294924432410401</v>
      </c>
      <c r="L21" s="14">
        <v>2.1884904806054899</v>
      </c>
      <c r="M21" s="14">
        <v>1.3038377744260199</v>
      </c>
      <c r="N21" s="14">
        <v>2.7908284806775399</v>
      </c>
      <c r="O21" s="14">
        <v>3.00796652450313</v>
      </c>
      <c r="P21" s="14">
        <v>2.7737800648147202</v>
      </c>
      <c r="Q21" s="14">
        <v>1.2492192379762901</v>
      </c>
      <c r="R21" s="14">
        <v>4.2586217189707298</v>
      </c>
      <c r="S21" s="14">
        <v>2.0843274608234301</v>
      </c>
      <c r="T21" s="14">
        <v>1.51563513618532</v>
      </c>
      <c r="U21" s="14">
        <v>2.9629852819288001</v>
      </c>
      <c r="V21" s="14">
        <v>2.3758205776038599</v>
      </c>
      <c r="W21" s="14">
        <v>1.1802843636655</v>
      </c>
      <c r="X21" s="14">
        <v>0.31030647218166502</v>
      </c>
      <c r="Y21" s="14">
        <v>1.10054826378929</v>
      </c>
      <c r="Z21" s="14">
        <v>0.64270277152730404</v>
      </c>
      <c r="AA21" s="14">
        <v>1.3643544815070801</v>
      </c>
      <c r="AB21" s="14">
        <v>1.1578236245151701</v>
      </c>
      <c r="AC21" s="14">
        <v>1.6420600176894</v>
      </c>
      <c r="AD21" s="14">
        <v>0.63854495677671197</v>
      </c>
      <c r="AE21" s="14">
        <v>1.4978921793472399</v>
      </c>
      <c r="AF21" s="14">
        <v>6.1537562193303703</v>
      </c>
      <c r="AG21" s="14">
        <v>5.0939675897888304</v>
      </c>
      <c r="AH21" s="14">
        <v>1.6507946928310899</v>
      </c>
    </row>
    <row r="22" spans="1:34" x14ac:dyDescent="0.35">
      <c r="A22" s="11" t="s">
        <v>62</v>
      </c>
      <c r="B22" s="11" t="s">
        <v>63</v>
      </c>
      <c r="C22" s="14">
        <v>2.58418115634715</v>
      </c>
      <c r="D22" s="14">
        <v>2.80152693672192</v>
      </c>
      <c r="E22" s="14">
        <v>1.9232245716635901</v>
      </c>
      <c r="F22" s="14">
        <v>2.11378787066774</v>
      </c>
      <c r="G22" s="14">
        <v>2.1092456273948299</v>
      </c>
      <c r="H22" s="14">
        <v>1.95913632274257</v>
      </c>
      <c r="I22" s="14">
        <v>2.1571791805505001</v>
      </c>
      <c r="J22" s="14">
        <v>2.3605223380195799</v>
      </c>
      <c r="K22" s="14">
        <v>4.1558412719561204</v>
      </c>
      <c r="L22" s="14">
        <v>3.28753104712766</v>
      </c>
      <c r="M22" s="14">
        <v>2.09199838997655</v>
      </c>
      <c r="N22" s="14">
        <v>1.2636473918317701</v>
      </c>
      <c r="O22" s="14">
        <v>1.6881301786962</v>
      </c>
      <c r="P22" s="14">
        <v>1.10150106517709</v>
      </c>
      <c r="Q22" s="14">
        <v>1.6138585980210201</v>
      </c>
      <c r="R22" s="14">
        <v>2.4865019828945698</v>
      </c>
      <c r="S22" s="14">
        <v>1.1897768702154801</v>
      </c>
      <c r="T22" s="14">
        <v>1.2753056955667901</v>
      </c>
      <c r="U22" s="14">
        <v>2.3410701775137301</v>
      </c>
      <c r="V22" s="14">
        <v>2.45554765291614</v>
      </c>
      <c r="W22" s="14">
        <v>2.50689852657875</v>
      </c>
      <c r="X22" s="14">
        <v>0.97603507969967895</v>
      </c>
      <c r="Y22" s="14">
        <v>0.60024814727877596</v>
      </c>
      <c r="Z22" s="14">
        <v>0.316666666666652</v>
      </c>
      <c r="AA22" s="14">
        <v>1.3814587140721599</v>
      </c>
      <c r="AB22" s="14">
        <v>1.70349794744479</v>
      </c>
      <c r="AC22" s="14">
        <v>2.63369910249591</v>
      </c>
      <c r="AD22" s="14">
        <v>1.2724603778916099</v>
      </c>
      <c r="AE22" s="14">
        <v>2.6757200880538501</v>
      </c>
      <c r="AF22" s="14">
        <v>10.001207875347299</v>
      </c>
      <c r="AG22" s="14">
        <v>3.8383935434280798</v>
      </c>
      <c r="AH22" s="14">
        <v>3.34754304219953</v>
      </c>
    </row>
    <row r="23" spans="1:34" x14ac:dyDescent="0.35">
      <c r="A23" s="11" t="s">
        <v>64</v>
      </c>
      <c r="B23" s="11" t="s">
        <v>65</v>
      </c>
      <c r="C23" s="14">
        <v>6.7837799466540698</v>
      </c>
      <c r="D23" s="14">
        <v>5.42044019241626</v>
      </c>
      <c r="E23" s="14">
        <v>4.2228161409948601</v>
      </c>
      <c r="F23" s="14">
        <v>3.0689773250978898</v>
      </c>
      <c r="G23" s="14">
        <v>2.33686298314116</v>
      </c>
      <c r="H23" s="14">
        <v>2.5727522590912999</v>
      </c>
      <c r="I23" s="14">
        <v>2.3400949031217002</v>
      </c>
      <c r="J23" s="14">
        <v>2.8530303928715699</v>
      </c>
      <c r="K23" s="14">
        <v>4.3699033055179299</v>
      </c>
      <c r="L23" s="14">
        <v>3.6003465829091401</v>
      </c>
      <c r="M23" s="14">
        <v>3.2189909068289499</v>
      </c>
      <c r="N23" s="14">
        <v>2.3653620409730198</v>
      </c>
      <c r="O23" s="14">
        <v>2.2771639488783402</v>
      </c>
      <c r="P23" s="14">
        <v>3.1076654587105002</v>
      </c>
      <c r="Q23" s="14">
        <v>2.45396528138743</v>
      </c>
      <c r="R23" s="14">
        <v>2.58850657657959</v>
      </c>
      <c r="S23" s="14">
        <v>-0.83553002150415701</v>
      </c>
      <c r="T23" s="14">
        <v>1.4025728989536901</v>
      </c>
      <c r="U23" s="14">
        <v>3.6530110043072401</v>
      </c>
      <c r="V23" s="14">
        <v>2.7733385405158599</v>
      </c>
      <c r="W23" s="14">
        <v>0.27441666666666298</v>
      </c>
      <c r="X23" s="14">
        <v>-0.27815336746742803</v>
      </c>
      <c r="Y23" s="14">
        <v>0.48793862390471998</v>
      </c>
      <c r="Z23" s="14">
        <v>0.60739707464171899</v>
      </c>
      <c r="AA23" s="14">
        <v>1.3686141164347201</v>
      </c>
      <c r="AB23" s="14">
        <v>0.99371568346832595</v>
      </c>
      <c r="AC23" s="14">
        <v>0.33817841004603399</v>
      </c>
      <c r="AD23" s="14">
        <v>-1.2438329957530501E-2</v>
      </c>
      <c r="AE23" s="14">
        <v>1.2656571906904399</v>
      </c>
      <c r="AF23" s="14">
        <v>7.8326912423332304</v>
      </c>
      <c r="AG23" s="14">
        <v>4.3112819189867198</v>
      </c>
      <c r="AH23" s="14">
        <v>2.4161318779188399</v>
      </c>
    </row>
    <row r="24" spans="1:34" x14ac:dyDescent="0.35">
      <c r="A24" s="11" t="s">
        <v>66</v>
      </c>
      <c r="B24" s="11" t="s">
        <v>67</v>
      </c>
      <c r="C24" s="14">
        <v>2.9516569663855901</v>
      </c>
      <c r="D24" s="14">
        <v>2.60744159215453</v>
      </c>
      <c r="E24" s="14">
        <v>2.8054196885366198</v>
      </c>
      <c r="F24" s="14">
        <v>2.9312041999344198</v>
      </c>
      <c r="G24" s="14">
        <v>2.3376899373073501</v>
      </c>
      <c r="H24" s="14">
        <v>1.5522790987436399</v>
      </c>
      <c r="I24" s="14">
        <v>2.1880271969735801</v>
      </c>
      <c r="J24" s="14">
        <v>3.3768572714992899</v>
      </c>
      <c r="K24" s="14">
        <v>2.8261711188540701</v>
      </c>
      <c r="L24" s="14">
        <v>1.5860316265060099</v>
      </c>
      <c r="M24" s="14">
        <v>2.2700949733611502</v>
      </c>
      <c r="N24" s="14">
        <v>2.6772366930917202</v>
      </c>
      <c r="O24" s="14">
        <v>3.3927468454955001</v>
      </c>
      <c r="P24" s="14">
        <v>3.2259441007040399</v>
      </c>
      <c r="Q24" s="14">
        <v>2.8526724815013802</v>
      </c>
      <c r="R24" s="14">
        <v>3.8391002966509999</v>
      </c>
      <c r="S24" s="14">
        <v>-0.355546266299747</v>
      </c>
      <c r="T24" s="14">
        <v>1.6400434423899</v>
      </c>
      <c r="U24" s="14">
        <v>3.1568415686220002</v>
      </c>
      <c r="V24" s="14">
        <v>2.0693372652606699</v>
      </c>
      <c r="W24" s="14">
        <v>1.46483265562717</v>
      </c>
      <c r="X24" s="14">
        <v>1.62222297740817</v>
      </c>
      <c r="Y24" s="14">
        <v>0.118627135552451</v>
      </c>
      <c r="Z24" s="14">
        <v>1.26158320570536</v>
      </c>
      <c r="AA24" s="14">
        <v>2.1301100036596101</v>
      </c>
      <c r="AB24" s="14">
        <v>2.44258329692817</v>
      </c>
      <c r="AC24" s="14">
        <v>1.8122100752602099</v>
      </c>
      <c r="AD24" s="14">
        <v>1.23358439630629</v>
      </c>
      <c r="AE24" s="14">
        <v>4.6978588636374203</v>
      </c>
      <c r="AF24" s="14">
        <v>8.0027998205212096</v>
      </c>
      <c r="AG24" s="14">
        <v>4.1163383837448801</v>
      </c>
      <c r="AH24" s="14">
        <v>2.9495252048520699</v>
      </c>
    </row>
    <row r="25" spans="1:34" x14ac:dyDescent="0.35">
      <c r="A25" s="11" t="s">
        <v>68</v>
      </c>
      <c r="B25" s="11" t="s">
        <v>69</v>
      </c>
      <c r="C25" s="14">
        <v>2.5585779692970498</v>
      </c>
      <c r="D25" s="14">
        <v>2.21901260504205</v>
      </c>
      <c r="E25" s="14">
        <v>2.6974951830443201</v>
      </c>
      <c r="F25" s="14">
        <v>2.85178236397749</v>
      </c>
      <c r="G25" s="14">
        <v>2.2011431351088202</v>
      </c>
      <c r="H25" s="14">
        <v>1.82056163731557</v>
      </c>
      <c r="I25" s="14">
        <v>1.7529508005142</v>
      </c>
      <c r="J25" s="14">
        <v>1.18295624210408</v>
      </c>
      <c r="K25" s="14">
        <v>1.5323496027241801</v>
      </c>
      <c r="L25" s="14">
        <v>1.52040245947455</v>
      </c>
      <c r="M25" s="14">
        <v>1.3765003854201301</v>
      </c>
      <c r="N25" s="14">
        <v>1.3903975668042201</v>
      </c>
      <c r="O25" s="14">
        <v>2.0891364902506999</v>
      </c>
      <c r="P25" s="14">
        <v>2.4556616643929101</v>
      </c>
      <c r="Q25" s="14">
        <v>2.38656150773327</v>
      </c>
      <c r="R25" s="14">
        <v>3.52140856342539</v>
      </c>
      <c r="S25" s="14">
        <v>1.9617317356010899</v>
      </c>
      <c r="T25" s="14">
        <v>2.4926547246706598</v>
      </c>
      <c r="U25" s="14">
        <v>3.8561124468282002</v>
      </c>
      <c r="V25" s="14">
        <v>2.5732347965453002</v>
      </c>
      <c r="W25" s="14">
        <v>2.2916666666665901</v>
      </c>
      <c r="X25" s="14">
        <v>1.4511201629327899</v>
      </c>
      <c r="Y25" s="14">
        <v>0.36804684232536</v>
      </c>
      <c r="Z25" s="14">
        <v>1.0084173681141</v>
      </c>
      <c r="AA25" s="14">
        <v>2.55775577557747</v>
      </c>
      <c r="AB25" s="14">
        <v>2.29283990345938</v>
      </c>
      <c r="AC25" s="14">
        <v>1.73810460086513</v>
      </c>
      <c r="AD25" s="14">
        <v>0.98948670377249104</v>
      </c>
      <c r="AE25" s="14">
        <v>2.51837109614213</v>
      </c>
      <c r="AF25" s="14">
        <v>7.9220488314790201</v>
      </c>
      <c r="AG25" s="14">
        <v>6.7939670679396302</v>
      </c>
      <c r="AH25" s="14">
        <v>3.2715729463591998</v>
      </c>
    </row>
  </sheetData>
  <mergeCells count="1">
    <mergeCell ref="A1:AH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6"/>
  <sheetViews>
    <sheetView zoomScaleNormal="100" workbookViewId="0">
      <pane xSplit="1" ySplit="4" topLeftCell="B5" activePane="bottomRight" state="frozen"/>
      <selection pane="topRight" activeCell="B1" sqref="B1"/>
      <selection pane="bottomLeft" activeCell="A5" sqref="A5"/>
      <selection pane="bottomRight" sqref="A1:H1"/>
    </sheetView>
  </sheetViews>
  <sheetFormatPr baseColWidth="10" defaultColWidth="8.6328125" defaultRowHeight="14.5" x14ac:dyDescent="0.35"/>
  <cols>
    <col min="1" max="1" width="8" customWidth="1"/>
    <col min="2" max="3" width="18" customWidth="1"/>
    <col min="4" max="9" width="14" customWidth="1"/>
  </cols>
  <sheetData>
    <row r="1" spans="1:9" ht="18.649999999999999" customHeight="1" x14ac:dyDescent="0.35">
      <c r="A1" s="4" t="s">
        <v>73</v>
      </c>
      <c r="B1" s="4"/>
      <c r="C1" s="4"/>
      <c r="D1" s="4"/>
      <c r="E1" s="4"/>
      <c r="F1" s="4"/>
      <c r="G1" s="4"/>
      <c r="H1" s="4"/>
    </row>
    <row r="2" spans="1:9" x14ac:dyDescent="0.35">
      <c r="A2" s="3" t="s">
        <v>74</v>
      </c>
      <c r="B2" s="3"/>
      <c r="C2" s="3"/>
      <c r="D2" s="3"/>
      <c r="E2" s="3"/>
      <c r="F2" s="3"/>
      <c r="G2" s="3"/>
      <c r="H2" s="3"/>
    </row>
    <row r="4" spans="1:9" ht="31.5" customHeight="1" x14ac:dyDescent="0.35">
      <c r="A4" s="10" t="s">
        <v>75</v>
      </c>
      <c r="B4" s="10" t="s">
        <v>76</v>
      </c>
      <c r="C4" s="10" t="s">
        <v>77</v>
      </c>
      <c r="D4" s="10" t="s">
        <v>78</v>
      </c>
      <c r="E4" s="10" t="s">
        <v>79</v>
      </c>
      <c r="F4" s="10" t="s">
        <v>80</v>
      </c>
      <c r="G4" s="10" t="s">
        <v>81</v>
      </c>
      <c r="H4" s="10" t="s">
        <v>82</v>
      </c>
      <c r="I4" s="10" t="s">
        <v>83</v>
      </c>
    </row>
    <row r="5" spans="1:9" x14ac:dyDescent="0.35">
      <c r="A5" s="15">
        <v>1993</v>
      </c>
      <c r="B5" s="13">
        <f>SUM(DATOS_PIB!C4:C23)</f>
        <v>8301756594510.3535</v>
      </c>
      <c r="C5" s="13">
        <f>SUM(DATOS_POB!C4:C23)</f>
        <v>319853229.96713388</v>
      </c>
      <c r="D5" s="16">
        <f t="shared" ref="D5:D36" si="0">B5/C5</f>
        <v>25954.893734740119</v>
      </c>
      <c r="E5" s="17">
        <f>DATOS_PIBPC!C24</f>
        <v>39807.879503420598</v>
      </c>
      <c r="F5" s="17">
        <f>DATOS_PIBPC!C25</f>
        <v>30862.411812165399</v>
      </c>
      <c r="G5" s="18">
        <f>SUMPRODUCT(DATOS_INF!C4:C23,DATOS_POB!C4:C23)/SUM(DATOS_POB!C4:C23)</f>
        <v>32.139995395327219</v>
      </c>
      <c r="H5" s="18">
        <f>DATOS_INF!C24</f>
        <v>2.9516569663855901</v>
      </c>
      <c r="I5" s="18">
        <f>DATOS_INF!C25</f>
        <v>2.5585779692970498</v>
      </c>
    </row>
    <row r="6" spans="1:9" x14ac:dyDescent="0.35">
      <c r="A6" s="15">
        <v>1994</v>
      </c>
      <c r="B6" s="13">
        <f>SUM(DATOS_PIB!D4:D23)</f>
        <v>8510568327651.7754</v>
      </c>
      <c r="C6" s="13">
        <f>SUM(DATOS_POB!D4:D23)</f>
        <v>320818535.97344261</v>
      </c>
      <c r="D6" s="16">
        <f t="shared" si="0"/>
        <v>26527.670235226935</v>
      </c>
      <c r="E6" s="17">
        <f>DATOS_PIBPC!D24</f>
        <v>40907.0184352707</v>
      </c>
      <c r="F6" s="17">
        <f>DATOS_PIBPC!D25</f>
        <v>32308.795272211501</v>
      </c>
      <c r="G6" s="18">
        <f>SUMPRODUCT(DATOS_INF!D4:D23,DATOS_POB!D4:D23)/SUM(DATOS_POB!D4:D23)</f>
        <v>6.390097932393811</v>
      </c>
      <c r="H6" s="18">
        <f>DATOS_INF!D24</f>
        <v>2.60744159215453</v>
      </c>
      <c r="I6" s="18">
        <f>DATOS_INF!D25</f>
        <v>2.21901260504205</v>
      </c>
    </row>
    <row r="7" spans="1:9" x14ac:dyDescent="0.35">
      <c r="A7" s="15">
        <v>1995</v>
      </c>
      <c r="B7" s="13">
        <f>SUM(DATOS_PIB!E4:E23)</f>
        <v>8720727282350.2168</v>
      </c>
      <c r="C7" s="13">
        <f>SUM(DATOS_POB!E4:E23)</f>
        <v>321596356.0321911</v>
      </c>
      <c r="D7" s="16">
        <f t="shared" si="0"/>
        <v>27116.996566582027</v>
      </c>
      <c r="E7" s="17">
        <f>DATOS_PIBPC!E24</f>
        <v>41507.9135604158</v>
      </c>
      <c r="F7" s="17">
        <f>DATOS_PIBPC!E25</f>
        <v>33362.016127250703</v>
      </c>
      <c r="G7" s="18">
        <f>SUMPRODUCT(DATOS_INF!E4:E23,DATOS_POB!E4:E23)/SUM(DATOS_POB!E4:E23)</f>
        <v>4.0147461267954183</v>
      </c>
      <c r="H7" s="18">
        <f>DATOS_INF!E24</f>
        <v>2.8054196885366198</v>
      </c>
      <c r="I7" s="18">
        <f>DATOS_INF!E25</f>
        <v>2.6974951830443201</v>
      </c>
    </row>
    <row r="8" spans="1:9" x14ac:dyDescent="0.35">
      <c r="A8" s="15">
        <v>1996</v>
      </c>
      <c r="B8" s="13">
        <f>SUM(DATOS_PIB!F4:F23)</f>
        <v>8872712008505.4902</v>
      </c>
      <c r="C8" s="13">
        <f>SUM(DATOS_POB!F4:F23)</f>
        <v>322349415.97691482</v>
      </c>
      <c r="D8" s="16">
        <f t="shared" si="0"/>
        <v>27525.137533182045</v>
      </c>
      <c r="E8" s="17">
        <f>DATOS_PIBPC!F24</f>
        <v>42575.689693677297</v>
      </c>
      <c r="F8" s="17">
        <f>DATOS_PIBPC!F25</f>
        <v>34147.345905403301</v>
      </c>
      <c r="G8" s="18">
        <f>SUMPRODUCT(DATOS_INF!F4:F23,DATOS_POB!F4:F23)/SUM(DATOS_POB!F4:F23)</f>
        <v>3.2303092333293457</v>
      </c>
      <c r="H8" s="18">
        <f>DATOS_INF!F24</f>
        <v>2.9312041999344198</v>
      </c>
      <c r="I8" s="18">
        <f>DATOS_INF!F25</f>
        <v>2.85178236397749</v>
      </c>
    </row>
    <row r="9" spans="1:9" x14ac:dyDescent="0.35">
      <c r="A9" s="15">
        <v>1997</v>
      </c>
      <c r="B9" s="13">
        <f>SUM(DATOS_PIB!G4:G23)</f>
        <v>9117941910335.3438</v>
      </c>
      <c r="C9" s="13">
        <f>SUM(DATOS_POB!G4:G23)</f>
        <v>323079470.97697949</v>
      </c>
      <c r="D9" s="16">
        <f t="shared" si="0"/>
        <v>28221.97858243066</v>
      </c>
      <c r="E9" s="17">
        <f>DATOS_PIBPC!G24</f>
        <v>43936.905001807303</v>
      </c>
      <c r="F9" s="17">
        <f>DATOS_PIBPC!G25</f>
        <v>35721.6105928791</v>
      </c>
      <c r="G9" s="18">
        <f>SUMPRODUCT(DATOS_INF!G4:G23,DATOS_POB!G4:G23)/SUM(DATOS_POB!G4:G23)</f>
        <v>2.2307392327559215</v>
      </c>
      <c r="H9" s="18">
        <f>DATOS_INF!G24</f>
        <v>2.3376899373073501</v>
      </c>
      <c r="I9" s="18">
        <f>DATOS_INF!G25</f>
        <v>2.2011431351088202</v>
      </c>
    </row>
    <row r="10" spans="1:9" x14ac:dyDescent="0.35">
      <c r="A10" s="15">
        <v>1998</v>
      </c>
      <c r="B10" s="13">
        <f>SUM(DATOS_PIB!H4:H23)</f>
        <v>9391522499838.7852</v>
      </c>
      <c r="C10" s="13">
        <f>SUM(DATOS_POB!H4:H23)</f>
        <v>323740849.02455872</v>
      </c>
      <c r="D10" s="16">
        <f t="shared" si="0"/>
        <v>29009.383672575565</v>
      </c>
      <c r="E10" s="17">
        <f>DATOS_PIBPC!H24</f>
        <v>45374.621518923297</v>
      </c>
      <c r="F10" s="17">
        <f>DATOS_PIBPC!H25</f>
        <v>36773.928779040602</v>
      </c>
      <c r="G10" s="18">
        <f>SUMPRODUCT(DATOS_INF!H4:H23,DATOS_POB!H4:H23)/SUM(DATOS_POB!H4:H23)</f>
        <v>1.7426009050488445</v>
      </c>
      <c r="H10" s="18">
        <f>DATOS_INF!H24</f>
        <v>1.5522790987436399</v>
      </c>
      <c r="I10" s="18">
        <f>DATOS_INF!H25</f>
        <v>1.82056163731557</v>
      </c>
    </row>
    <row r="11" spans="1:9" x14ac:dyDescent="0.35">
      <c r="A11" s="15">
        <v>1999</v>
      </c>
      <c r="B11" s="13">
        <f>SUM(DATOS_PIB!I4:I23)</f>
        <v>9674201978910.4316</v>
      </c>
      <c r="C11" s="13">
        <f>SUM(DATOS_POB!I4:I23)</f>
        <v>324537397.00962597</v>
      </c>
      <c r="D11" s="16">
        <f t="shared" si="0"/>
        <v>29809.205558592341</v>
      </c>
      <c r="E11" s="17">
        <f>DATOS_PIBPC!I24</f>
        <v>47004.469017723</v>
      </c>
      <c r="F11" s="17">
        <f>DATOS_PIBPC!I25</f>
        <v>37730.715559116099</v>
      </c>
      <c r="G11" s="18">
        <f>SUMPRODUCT(DATOS_INF!I4:I23,DATOS_POB!I4:I23)/SUM(DATOS_POB!I4:I23)</f>
        <v>1.4964239008477445</v>
      </c>
      <c r="H11" s="18">
        <f>DATOS_INF!I24</f>
        <v>2.1880271969735801</v>
      </c>
      <c r="I11" s="18">
        <f>DATOS_INF!I25</f>
        <v>1.7529508005142</v>
      </c>
    </row>
    <row r="12" spans="1:9" x14ac:dyDescent="0.35">
      <c r="A12" s="15">
        <v>2000</v>
      </c>
      <c r="B12" s="13">
        <f>SUM(DATOS_PIB!J4:J23)</f>
        <v>10051632608869.199</v>
      </c>
      <c r="C12" s="13">
        <f>SUM(DATOS_POB!J4:J23)</f>
        <v>325535987.01666594</v>
      </c>
      <c r="D12" s="16">
        <f t="shared" si="0"/>
        <v>30877.177976500036</v>
      </c>
      <c r="E12" s="17">
        <f>DATOS_PIBPC!J24</f>
        <v>48379.755170578101</v>
      </c>
      <c r="F12" s="17">
        <f>DATOS_PIBPC!J25</f>
        <v>39297.136631726702</v>
      </c>
      <c r="G12" s="18">
        <f>SUMPRODUCT(DATOS_INF!J4:J23,DATOS_POB!J4:J23)/SUM(DATOS_POB!J4:J23)</f>
        <v>2.4907562623982655</v>
      </c>
      <c r="H12" s="18">
        <f>DATOS_INF!J24</f>
        <v>3.3768572714992899</v>
      </c>
      <c r="I12" s="18">
        <f>DATOS_INF!J25</f>
        <v>1.18295624210408</v>
      </c>
    </row>
    <row r="13" spans="1:9" x14ac:dyDescent="0.35">
      <c r="A13" s="15">
        <v>2001</v>
      </c>
      <c r="B13" s="13">
        <f>SUM(DATOS_PIB!K4:K23)</f>
        <v>10271270687411.125</v>
      </c>
      <c r="C13" s="13">
        <f>SUM(DATOS_POB!K4:K23)</f>
        <v>326598612.00692546</v>
      </c>
      <c r="D13" s="16">
        <f t="shared" si="0"/>
        <v>31449.217203633812</v>
      </c>
      <c r="E13" s="17">
        <f>DATOS_PIBPC!K24</f>
        <v>48361.016760707302</v>
      </c>
      <c r="F13" s="17">
        <f>DATOS_PIBPC!K25</f>
        <v>40082.135935682199</v>
      </c>
      <c r="G13" s="18">
        <f>SUMPRODUCT(DATOS_INF!K4:K23,DATOS_POB!K4:K23)/SUM(DATOS_POB!K4:K23)</f>
        <v>2.7284212632225331</v>
      </c>
      <c r="H13" s="18">
        <f>DATOS_INF!K24</f>
        <v>2.8261711188540701</v>
      </c>
      <c r="I13" s="18">
        <f>DATOS_INF!K25</f>
        <v>1.5323496027241801</v>
      </c>
    </row>
    <row r="14" spans="1:9" x14ac:dyDescent="0.35">
      <c r="A14" s="15">
        <v>2002</v>
      </c>
      <c r="B14" s="13">
        <f>SUM(DATOS_PIB!L4:L23)</f>
        <v>10368515674185.043</v>
      </c>
      <c r="C14" s="13">
        <f>SUM(DATOS_POB!L4:L23)</f>
        <v>328197867.99011642</v>
      </c>
      <c r="D14" s="16">
        <f t="shared" si="0"/>
        <v>31592.270046365102</v>
      </c>
      <c r="E14" s="17">
        <f>DATOS_PIBPC!L24</f>
        <v>48729.158644262498</v>
      </c>
      <c r="F14" s="17">
        <f>DATOS_PIBPC!L25</f>
        <v>40594.932929344999</v>
      </c>
      <c r="G14" s="18">
        <f>SUMPRODUCT(DATOS_INF!L4:L23,DATOS_POB!L4:L23)/SUM(DATOS_POB!L4:L23)</f>
        <v>2.2702900018031889</v>
      </c>
      <c r="H14" s="18">
        <f>DATOS_INF!L24</f>
        <v>1.5860316265060099</v>
      </c>
      <c r="I14" s="18">
        <f>DATOS_INF!L25</f>
        <v>1.52040245947455</v>
      </c>
    </row>
    <row r="15" spans="1:9" x14ac:dyDescent="0.35">
      <c r="A15" s="15">
        <v>2003</v>
      </c>
      <c r="B15" s="13">
        <f>SUM(DATOS_PIB!M4:M23)</f>
        <v>10446610415297.049</v>
      </c>
      <c r="C15" s="13">
        <f>SUM(DATOS_POB!M4:M23)</f>
        <v>330005057.02674127</v>
      </c>
      <c r="D15" s="16">
        <f t="shared" si="0"/>
        <v>31655.910092464219</v>
      </c>
      <c r="E15" s="17">
        <f>DATOS_PIBPC!M24</f>
        <v>49662.752054983903</v>
      </c>
      <c r="F15" s="17">
        <f>DATOS_PIBPC!M25</f>
        <v>41706.830393012599</v>
      </c>
      <c r="G15" s="18">
        <f>SUMPRODUCT(DATOS_INF!M4:M23,DATOS_POB!M4:M23)/SUM(DATOS_POB!M4:M23)</f>
        <v>2.1925630180620161</v>
      </c>
      <c r="H15" s="18">
        <f>DATOS_INF!M24</f>
        <v>2.2700949733611502</v>
      </c>
      <c r="I15" s="18">
        <f>DATOS_INF!M25</f>
        <v>1.3765003854201301</v>
      </c>
    </row>
    <row r="16" spans="1:9" x14ac:dyDescent="0.35">
      <c r="A16" s="15">
        <v>2004</v>
      </c>
      <c r="B16" s="13">
        <f>SUM(DATOS_PIB!N4:N23)</f>
        <v>10688122950746.631</v>
      </c>
      <c r="C16" s="13">
        <f>SUM(DATOS_POB!N4:N23)</f>
        <v>331850222.01039577</v>
      </c>
      <c r="D16" s="16">
        <f t="shared" si="0"/>
        <v>32207.671539275954</v>
      </c>
      <c r="E16" s="17">
        <f>DATOS_PIBPC!N24</f>
        <v>51098.557300741697</v>
      </c>
      <c r="F16" s="17">
        <f>DATOS_PIBPC!N25</f>
        <v>42434.820902363797</v>
      </c>
      <c r="G16" s="18">
        <f>SUMPRODUCT(DATOS_INF!N4:N23,DATOS_POB!N4:N23)/SUM(DATOS_POB!N4:N23)</f>
        <v>2.2238677444197354</v>
      </c>
      <c r="H16" s="18">
        <f>DATOS_INF!N24</f>
        <v>2.6772366930917202</v>
      </c>
      <c r="I16" s="18">
        <f>DATOS_INF!N25</f>
        <v>1.3903975668042201</v>
      </c>
    </row>
    <row r="17" spans="1:9" x14ac:dyDescent="0.35">
      <c r="A17" s="15">
        <v>2005</v>
      </c>
      <c r="B17" s="13">
        <f>SUM(DATOS_PIB!O4:O23)</f>
        <v>10877480916247.16</v>
      </c>
      <c r="C17" s="13">
        <f>SUM(DATOS_POB!O4:O23)</f>
        <v>333600140.98920405</v>
      </c>
      <c r="D17" s="16">
        <f t="shared" si="0"/>
        <v>32606.343882208301</v>
      </c>
      <c r="E17" s="17">
        <f>DATOS_PIBPC!O24</f>
        <v>52393.451311309203</v>
      </c>
      <c r="F17" s="17">
        <f>DATOS_PIBPC!O25</f>
        <v>43320.562868443798</v>
      </c>
      <c r="G17" s="18">
        <f>SUMPRODUCT(DATOS_INF!O4:O23,DATOS_POB!O4:O23)/SUM(DATOS_POB!O4:O23)</f>
        <v>2.1579035075779278</v>
      </c>
      <c r="H17" s="18">
        <f>DATOS_INF!O24</f>
        <v>3.3927468454955001</v>
      </c>
      <c r="I17" s="18">
        <f>DATOS_INF!O25</f>
        <v>2.0891364902506999</v>
      </c>
    </row>
    <row r="18" spans="1:9" x14ac:dyDescent="0.35">
      <c r="A18" s="15">
        <v>2006</v>
      </c>
      <c r="B18" s="13">
        <f>SUM(DATOS_PIB!P4:P23)</f>
        <v>11239110531688.918</v>
      </c>
      <c r="C18" s="13">
        <f>SUM(DATOS_POB!P4:P23)</f>
        <v>335196248.976215</v>
      </c>
      <c r="D18" s="16">
        <f t="shared" si="0"/>
        <v>33529.941238949927</v>
      </c>
      <c r="E18" s="17">
        <f>DATOS_PIBPC!P24</f>
        <v>53335.5896950225</v>
      </c>
      <c r="F18" s="17">
        <f>DATOS_PIBPC!P25</f>
        <v>43944.998579906904</v>
      </c>
      <c r="G18" s="18">
        <f>SUMPRODUCT(DATOS_INF!P4:P23,DATOS_POB!P4:P23)/SUM(DATOS_POB!P4:P23)</f>
        <v>2.1960450409206715</v>
      </c>
      <c r="H18" s="18">
        <f>DATOS_INF!P24</f>
        <v>3.2259441007040399</v>
      </c>
      <c r="I18" s="18">
        <f>DATOS_INF!P25</f>
        <v>2.4556616643929101</v>
      </c>
    </row>
    <row r="19" spans="1:9" x14ac:dyDescent="0.35">
      <c r="A19" s="15">
        <v>2007</v>
      </c>
      <c r="B19" s="13">
        <f>SUM(DATOS_PIB!Q4:Q23)</f>
        <v>11577539085846.848</v>
      </c>
      <c r="C19" s="13">
        <f>SUM(DATOS_POB!Q4:Q23)</f>
        <v>336977396.00411439</v>
      </c>
      <c r="D19" s="16">
        <f t="shared" si="0"/>
        <v>34357.019856920873</v>
      </c>
      <c r="E19" s="17">
        <f>DATOS_PIBPC!Q24</f>
        <v>53889.396495177498</v>
      </c>
      <c r="F19" s="17">
        <f>DATOS_PIBPC!Q25</f>
        <v>44882.141312303997</v>
      </c>
      <c r="G19" s="18">
        <f>SUMPRODUCT(DATOS_INF!Q4:Q23,DATOS_POB!Q4:Q23)/SUM(DATOS_POB!Q4:Q23)</f>
        <v>2.2613830673274959</v>
      </c>
      <c r="H19" s="18">
        <f>DATOS_INF!Q24</f>
        <v>2.8526724815013802</v>
      </c>
      <c r="I19" s="18">
        <f>DATOS_INF!Q25</f>
        <v>2.38656150773327</v>
      </c>
    </row>
    <row r="20" spans="1:9" x14ac:dyDescent="0.35">
      <c r="A20" s="15">
        <v>2008</v>
      </c>
      <c r="B20" s="13">
        <f>SUM(DATOS_PIB!R4:R23)</f>
        <v>11625068501355.416</v>
      </c>
      <c r="C20" s="13">
        <f>SUM(DATOS_POB!R4:R23)</f>
        <v>338674080.99256873</v>
      </c>
      <c r="D20" s="16">
        <f t="shared" si="0"/>
        <v>34325.238197399864</v>
      </c>
      <c r="E20" s="17">
        <f>DATOS_PIBPC!R24</f>
        <v>53442.713689977703</v>
      </c>
      <c r="F20" s="17">
        <f>DATOS_PIBPC!R25</f>
        <v>44508.287463147899</v>
      </c>
      <c r="G20" s="18">
        <f>SUMPRODUCT(DATOS_INF!R4:R23,DATOS_POB!R4:R23)/SUM(DATOS_POB!R4:R23)</f>
        <v>3.4338249553473768</v>
      </c>
      <c r="H20" s="18">
        <f>DATOS_INF!R24</f>
        <v>3.8391002966509999</v>
      </c>
      <c r="I20" s="18">
        <f>DATOS_INF!R25</f>
        <v>3.52140856342539</v>
      </c>
    </row>
    <row r="21" spans="1:9" x14ac:dyDescent="0.35">
      <c r="A21" s="15">
        <v>2009</v>
      </c>
      <c r="B21" s="13">
        <f>SUM(DATOS_PIB!S4:S23)</f>
        <v>11103943851471.506</v>
      </c>
      <c r="C21" s="13">
        <f>SUM(DATOS_POB!S4:S23)</f>
        <v>339835508.00225466</v>
      </c>
      <c r="D21" s="16">
        <f t="shared" si="0"/>
        <v>32674.466293256901</v>
      </c>
      <c r="E21" s="17">
        <f>DATOS_PIBPC!S24</f>
        <v>51611.321708771902</v>
      </c>
      <c r="F21" s="17">
        <f>DATOS_PIBPC!S25</f>
        <v>42146.509587996203</v>
      </c>
      <c r="G21" s="18">
        <f>SUMPRODUCT(DATOS_INF!S4:S23,DATOS_POB!S4:S23)/SUM(DATOS_POB!S4:S23)</f>
        <v>0.33941485681173766</v>
      </c>
      <c r="H21" s="18">
        <f>DATOS_INF!S24</f>
        <v>-0.355546266299747</v>
      </c>
      <c r="I21" s="18">
        <f>DATOS_INF!S25</f>
        <v>1.9617317356010899</v>
      </c>
    </row>
    <row r="22" spans="1:9" x14ac:dyDescent="0.35">
      <c r="A22" s="15">
        <v>2010</v>
      </c>
      <c r="B22" s="13">
        <f>SUM(DATOS_PIB!T4:T23)</f>
        <v>11339151064774.184</v>
      </c>
      <c r="C22" s="13">
        <f>SUM(DATOS_POB!T4:T23)</f>
        <v>340704434.004094</v>
      </c>
      <c r="D22" s="16">
        <f t="shared" si="0"/>
        <v>33281.489564171417</v>
      </c>
      <c r="E22" s="17">
        <f>DATOS_PIBPC!T24</f>
        <v>52555.769513402302</v>
      </c>
      <c r="F22" s="17">
        <f>DATOS_PIBPC!T25</f>
        <v>42762.720840223003</v>
      </c>
      <c r="G22" s="18">
        <f>SUMPRODUCT(DATOS_INF!T4:T23,DATOS_POB!T4:T23)/SUM(DATOS_POB!T4:T23)</f>
        <v>1.5185468953835659</v>
      </c>
      <c r="H22" s="18">
        <f>DATOS_INF!T24</f>
        <v>1.6400434423899</v>
      </c>
      <c r="I22" s="18">
        <f>DATOS_INF!T25</f>
        <v>2.4926547246706598</v>
      </c>
    </row>
    <row r="23" spans="1:9" x14ac:dyDescent="0.35">
      <c r="A23" s="15">
        <v>2011</v>
      </c>
      <c r="B23" s="13">
        <f>SUM(DATOS_PIB!U4:U23)</f>
        <v>11540709547027.283</v>
      </c>
      <c r="C23" s="13">
        <f>SUM(DATOS_POB!U4:U23)</f>
        <v>340071755.02590406</v>
      </c>
      <c r="D23" s="16">
        <f t="shared" si="0"/>
        <v>33936.101356456966</v>
      </c>
      <c r="E23" s="17">
        <f>DATOS_PIBPC!U24</f>
        <v>52956.6630340962</v>
      </c>
      <c r="F23" s="17">
        <f>DATOS_PIBPC!U25</f>
        <v>42791.093431347399</v>
      </c>
      <c r="G23" s="18">
        <f>SUMPRODUCT(DATOS_INF!U4:U23,DATOS_POB!U4:U23)/SUM(DATOS_POB!U4:U23)</f>
        <v>2.6484193737392872</v>
      </c>
      <c r="H23" s="18">
        <f>DATOS_INF!U24</f>
        <v>3.1568415686220002</v>
      </c>
      <c r="I23" s="18">
        <f>DATOS_INF!U25</f>
        <v>3.8561124468282002</v>
      </c>
    </row>
    <row r="24" spans="1:9" x14ac:dyDescent="0.35">
      <c r="A24" s="15">
        <v>2012</v>
      </c>
      <c r="B24" s="13">
        <f>SUM(DATOS_PIB!V4:V23)</f>
        <v>11434436143523.887</v>
      </c>
      <c r="C24" s="13">
        <f>SUM(DATOS_POB!V4:V23)</f>
        <v>340799206.97757399</v>
      </c>
      <c r="D24" s="16">
        <f t="shared" si="0"/>
        <v>33551.827320643737</v>
      </c>
      <c r="E24" s="17">
        <f>DATOS_PIBPC!V24</f>
        <v>53738.147671459301</v>
      </c>
      <c r="F24" s="17">
        <f>DATOS_PIBPC!V25</f>
        <v>43136.7006795997</v>
      </c>
      <c r="G24" s="18">
        <f>SUMPRODUCT(DATOS_INF!V4:V23,DATOS_POB!V4:V23)/SUM(DATOS_POB!V4:V23)</f>
        <v>2.3843611571251757</v>
      </c>
      <c r="H24" s="18">
        <f>DATOS_INF!V24</f>
        <v>2.0693372652606699</v>
      </c>
      <c r="I24" s="18">
        <f>DATOS_INF!V25</f>
        <v>2.5732347965453002</v>
      </c>
    </row>
    <row r="25" spans="1:9" x14ac:dyDescent="0.35">
      <c r="A25" s="15">
        <v>2013</v>
      </c>
      <c r="B25" s="13">
        <f>SUM(DATOS_PIB!W4:W23)</f>
        <v>11415372093537.936</v>
      </c>
      <c r="C25" s="13">
        <f>SUM(DATOS_POB!W4:W23)</f>
        <v>341318590.02519548</v>
      </c>
      <c r="D25" s="16">
        <f t="shared" si="0"/>
        <v>33444.917526160163</v>
      </c>
      <c r="E25" s="17">
        <f>DATOS_PIBPC!W24</f>
        <v>54462.625241240698</v>
      </c>
      <c r="F25" s="17">
        <f>DATOS_PIBPC!W25</f>
        <v>43585.193623864703</v>
      </c>
      <c r="G25" s="18">
        <f>SUMPRODUCT(DATOS_INF!W4:W23,DATOS_POB!W4:W23)/SUM(DATOS_POB!W4:W23)</f>
        <v>1.232556810478209</v>
      </c>
      <c r="H25" s="18">
        <f>DATOS_INF!W24</f>
        <v>1.46483265562717</v>
      </c>
      <c r="I25" s="18">
        <f>DATOS_INF!W25</f>
        <v>2.2916666666665901</v>
      </c>
    </row>
    <row r="26" spans="1:9" x14ac:dyDescent="0.35">
      <c r="A26" s="15">
        <v>2014</v>
      </c>
      <c r="B26" s="13">
        <f>SUM(DATOS_PIB!X4:X23)</f>
        <v>11581565694770.365</v>
      </c>
      <c r="C26" s="13">
        <f>SUM(DATOS_POB!X4:X23)</f>
        <v>341887200.97723848</v>
      </c>
      <c r="D26" s="16">
        <f t="shared" si="0"/>
        <v>33875.400019848712</v>
      </c>
      <c r="E26" s="17">
        <f>DATOS_PIBPC!X24</f>
        <v>55394.451043532899</v>
      </c>
      <c r="F26" s="17">
        <f>DATOS_PIBPC!X25</f>
        <v>44627.881826864403</v>
      </c>
      <c r="G26" s="18">
        <f>SUMPRODUCT(DATOS_INF!X4:X23,DATOS_POB!X4:X23)/SUM(DATOS_POB!X4:X23)</f>
        <v>0.40312640338479838</v>
      </c>
      <c r="H26" s="18">
        <f>DATOS_INF!X24</f>
        <v>1.62222297740817</v>
      </c>
      <c r="I26" s="18">
        <f>DATOS_INF!X25</f>
        <v>1.4511201629327899</v>
      </c>
    </row>
    <row r="27" spans="1:9" x14ac:dyDescent="0.35">
      <c r="A27" s="15">
        <v>2015</v>
      </c>
      <c r="B27" s="13">
        <f>SUM(DATOS_PIB!Y4:Y23)</f>
        <v>11829834353286.057</v>
      </c>
      <c r="C27" s="13">
        <f>SUM(DATOS_POB!Y4:Y23)</f>
        <v>342823284.99783599</v>
      </c>
      <c r="D27" s="16">
        <f t="shared" si="0"/>
        <v>34507.091177779039</v>
      </c>
      <c r="E27" s="17">
        <f>DATOS_PIBPC!Y24</f>
        <v>56572.918899606302</v>
      </c>
      <c r="F27" s="17">
        <f>DATOS_PIBPC!Y25</f>
        <v>45255.344921620897</v>
      </c>
      <c r="G27" s="18">
        <f>SUMPRODUCT(DATOS_INF!Y4:Y23,DATOS_POB!Y4:Y23)/SUM(DATOS_POB!Y4:Y23)</f>
        <v>6.6346597892436104E-2</v>
      </c>
      <c r="H27" s="18">
        <f>DATOS_INF!Y24</f>
        <v>0.118627135552451</v>
      </c>
      <c r="I27" s="18">
        <f>DATOS_INF!Y25</f>
        <v>0.36804684232536</v>
      </c>
    </row>
    <row r="28" spans="1:9" x14ac:dyDescent="0.35">
      <c r="A28" s="15">
        <v>2016</v>
      </c>
      <c r="B28" s="13">
        <f>SUM(DATOS_PIB!Z4:Z23)</f>
        <v>12042958416439.414</v>
      </c>
      <c r="C28" s="13">
        <f>SUM(DATOS_POB!Z4:Z23)</f>
        <v>343762686.01332313</v>
      </c>
      <c r="D28" s="16">
        <f t="shared" si="0"/>
        <v>35032.767971718342</v>
      </c>
      <c r="E28" s="17">
        <f>DATOS_PIBPC!Z24</f>
        <v>57151.470844837197</v>
      </c>
      <c r="F28" s="17">
        <f>DATOS_PIBPC!Z25</f>
        <v>45888.010513074798</v>
      </c>
      <c r="G28" s="18">
        <f>SUMPRODUCT(DATOS_INF!Z4:Z23,DATOS_POB!Z4:Z23)/SUM(DATOS_POB!Z4:Z23)</f>
        <v>0.19601948343040773</v>
      </c>
      <c r="H28" s="18">
        <f>DATOS_INF!Z24</f>
        <v>1.26158320570536</v>
      </c>
      <c r="I28" s="18">
        <f>DATOS_INF!Z25</f>
        <v>1.0084173681141</v>
      </c>
    </row>
    <row r="29" spans="1:9" x14ac:dyDescent="0.35">
      <c r="A29" s="15">
        <v>2017</v>
      </c>
      <c r="B29" s="13">
        <f>SUM(DATOS_PIB!AA4:AA23)</f>
        <v>12358800163596.574</v>
      </c>
      <c r="C29" s="13">
        <f>SUM(DATOS_POB!AA4:AA23)</f>
        <v>344430143.96735555</v>
      </c>
      <c r="D29" s="16">
        <f t="shared" si="0"/>
        <v>35881.877298079693</v>
      </c>
      <c r="E29" s="17">
        <f>DATOS_PIBPC!AA24</f>
        <v>58151.7021391854</v>
      </c>
      <c r="F29" s="17">
        <f>DATOS_PIBPC!AA25</f>
        <v>47018.025475767601</v>
      </c>
      <c r="G29" s="18">
        <f>SUMPRODUCT(DATOS_INF!AA4:AA23,DATOS_POB!AA4:AA23)/SUM(DATOS_POB!AA4:AA23)</f>
        <v>1.4351853708106048</v>
      </c>
      <c r="H29" s="18">
        <f>DATOS_INF!AA24</f>
        <v>2.1301100036596101</v>
      </c>
      <c r="I29" s="18">
        <f>DATOS_INF!AA25</f>
        <v>2.55775577557747</v>
      </c>
    </row>
    <row r="30" spans="1:9" x14ac:dyDescent="0.35">
      <c r="A30" s="15">
        <v>2018</v>
      </c>
      <c r="B30" s="13">
        <f>SUM(DATOS_PIB!AB4:AB23)</f>
        <v>12578775845340.355</v>
      </c>
      <c r="C30" s="13">
        <f>SUM(DATOS_POB!AB4:AB23)</f>
        <v>345478290.98470521</v>
      </c>
      <c r="D30" s="16">
        <f t="shared" si="0"/>
        <v>36409.743169353686</v>
      </c>
      <c r="E30" s="17">
        <f>DATOS_PIBPC!AB24</f>
        <v>59526.665698712</v>
      </c>
      <c r="F30" s="17">
        <f>DATOS_PIBPC!AB25</f>
        <v>47514.776369345302</v>
      </c>
      <c r="G30" s="18">
        <f>SUMPRODUCT(DATOS_INF!AB4:AB23,DATOS_POB!AB4:AB23)/SUM(DATOS_POB!AB4:AB23)</f>
        <v>1.6020059898263701</v>
      </c>
      <c r="H30" s="18">
        <f>DATOS_INF!AB24</f>
        <v>2.44258329692817</v>
      </c>
      <c r="I30" s="18">
        <f>DATOS_INF!AB25</f>
        <v>2.29283990345938</v>
      </c>
    </row>
    <row r="31" spans="1:9" x14ac:dyDescent="0.35">
      <c r="A31" s="15">
        <v>2019</v>
      </c>
      <c r="B31" s="13">
        <f>SUM(DATOS_PIB!AC4:AC23)</f>
        <v>12782883063558.004</v>
      </c>
      <c r="C31" s="13">
        <f>SUM(DATOS_POB!AC4:AC23)</f>
        <v>346106241.97048753</v>
      </c>
      <c r="D31" s="16">
        <f t="shared" si="0"/>
        <v>36933.408050606609</v>
      </c>
      <c r="E31" s="17">
        <f>DATOS_PIBPC!AC24</f>
        <v>60750.989862163697</v>
      </c>
      <c r="F31" s="17">
        <f>DATOS_PIBPC!AC25</f>
        <v>47864.758871263402</v>
      </c>
      <c r="G31" s="18">
        <f>SUMPRODUCT(DATOS_INF!AC4:AC23,DATOS_POB!AC4:AC23)/SUM(DATOS_POB!AC4:AC23)</f>
        <v>1.1402565897313812</v>
      </c>
      <c r="H31" s="18">
        <f>DATOS_INF!AC24</f>
        <v>1.8122100752602099</v>
      </c>
      <c r="I31" s="18">
        <f>DATOS_INF!AC25</f>
        <v>1.73810460086513</v>
      </c>
    </row>
    <row r="32" spans="1:9" x14ac:dyDescent="0.35">
      <c r="A32" s="15">
        <v>2020</v>
      </c>
      <c r="B32" s="13">
        <f>SUM(DATOS_PIB!AD4:AD23)</f>
        <v>12008656528555.102</v>
      </c>
      <c r="C32" s="13">
        <f>SUM(DATOS_POB!AD4:AD23)</f>
        <v>346592347.99820065</v>
      </c>
      <c r="D32" s="16">
        <f t="shared" si="0"/>
        <v>34647.783189424146</v>
      </c>
      <c r="E32" s="17">
        <f>DATOS_PIBPC!AD24</f>
        <v>59194.666517203099</v>
      </c>
      <c r="F32" s="17">
        <f>DATOS_PIBPC!AD25</f>
        <v>42982.463100764202</v>
      </c>
      <c r="G32" s="18">
        <f>SUMPRODUCT(DATOS_INF!AD4:AD23,DATOS_POB!AD4:AD23)/SUM(DATOS_POB!AD4:AD23)</f>
        <v>0.18714692395596338</v>
      </c>
      <c r="H32" s="18">
        <f>DATOS_INF!AD24</f>
        <v>1.23358439630629</v>
      </c>
      <c r="I32" s="18">
        <f>DATOS_INF!AD25</f>
        <v>0.98948670377249104</v>
      </c>
    </row>
    <row r="33" spans="1:9" x14ac:dyDescent="0.35">
      <c r="A33" s="15">
        <v>2021</v>
      </c>
      <c r="B33" s="13">
        <f>SUM(DATOS_PIB!AE4:AE23)</f>
        <v>12781670267789.096</v>
      </c>
      <c r="C33" s="13">
        <f>SUM(DATOS_POB!AE4:AE23)</f>
        <v>346812002.00887877</v>
      </c>
      <c r="D33" s="16">
        <f t="shared" si="0"/>
        <v>36854.751836015959</v>
      </c>
      <c r="E33" s="17">
        <f>DATOS_PIBPC!AE24</f>
        <v>62680.250358580503</v>
      </c>
      <c r="F33" s="17">
        <f>DATOS_PIBPC!AE25</f>
        <v>46487.342470654898</v>
      </c>
      <c r="G33" s="18">
        <f>SUMPRODUCT(DATOS_INF!AE4:AE23,DATOS_POB!AE4:AE23)/SUM(DATOS_POB!AE4:AE23)</f>
        <v>2.4091377841179189</v>
      </c>
      <c r="H33" s="18">
        <f>DATOS_INF!AE24</f>
        <v>4.6978588636374203</v>
      </c>
      <c r="I33" s="18">
        <f>DATOS_INF!AE25</f>
        <v>2.51837109614213</v>
      </c>
    </row>
    <row r="34" spans="1:9" x14ac:dyDescent="0.35">
      <c r="A34" s="15">
        <v>2022</v>
      </c>
      <c r="B34" s="13">
        <f>SUM(DATOS_PIB!AF4:AF23)</f>
        <v>13249379605852.871</v>
      </c>
      <c r="C34" s="13">
        <f>SUM(DATOS_POB!AF4:AF23)</f>
        <v>347808209.02510273</v>
      </c>
      <c r="D34" s="16">
        <f t="shared" si="0"/>
        <v>38093.924358457596</v>
      </c>
      <c r="E34" s="17">
        <f>DATOS_PIBPC!AF24</f>
        <v>63886.131706984102</v>
      </c>
      <c r="F34" s="17">
        <f>DATOS_PIBPC!AF25</f>
        <v>48433.009835766999</v>
      </c>
      <c r="G34" s="18">
        <f>SUMPRODUCT(DATOS_INF!AF4:AF23,DATOS_POB!AF4:AF23)/SUM(DATOS_POB!AF4:AF23)</f>
        <v>7.7665475077708788</v>
      </c>
      <c r="H34" s="18">
        <f>DATOS_INF!AF24</f>
        <v>8.0027998205212096</v>
      </c>
      <c r="I34" s="18">
        <f>DATOS_INF!AF25</f>
        <v>7.9220488314790201</v>
      </c>
    </row>
    <row r="35" spans="1:9" x14ac:dyDescent="0.35">
      <c r="A35" s="15">
        <v>2023</v>
      </c>
      <c r="B35" s="13">
        <f>SUM(DATOS_PIB!AG4:AG23)</f>
        <v>13312102900567.742</v>
      </c>
      <c r="C35" s="13">
        <f>SUM(DATOS_POB!AG4:AG23)</f>
        <v>349375470.99794257</v>
      </c>
      <c r="D35" s="16">
        <f t="shared" si="0"/>
        <v>38102.568742286247</v>
      </c>
      <c r="E35" s="17">
        <f>DATOS_PIBPC!AG24</f>
        <v>65186.597724415697</v>
      </c>
      <c r="F35" s="17">
        <f>DATOS_PIBPC!AG25</f>
        <v>47934.9375098983</v>
      </c>
      <c r="G35" s="18">
        <f>SUMPRODUCT(DATOS_INF!AG4:AG23,DATOS_POB!AG4:AG23)/SUM(DATOS_POB!AG4:AG23)</f>
        <v>5.257358990937659</v>
      </c>
      <c r="H35" s="18">
        <f>DATOS_INF!AG24</f>
        <v>4.1163383837448801</v>
      </c>
      <c r="I35" s="18">
        <f>DATOS_INF!AG25</f>
        <v>6.7939670679396302</v>
      </c>
    </row>
    <row r="36" spans="1:9" x14ac:dyDescent="0.35">
      <c r="A36" s="15">
        <v>2024</v>
      </c>
      <c r="B36" s="13">
        <f>SUM(DATOS_PIB!AH4:AH23)</f>
        <v>13433497319073.26</v>
      </c>
      <c r="C36" s="13">
        <f>SUM(DATOS_POB!AH4:AH23)</f>
        <v>350776768.98837602</v>
      </c>
      <c r="D36" s="16">
        <f t="shared" si="0"/>
        <v>38296.428118130068</v>
      </c>
      <c r="E36" s="17">
        <f>DATOS_PIBPC!AH24</f>
        <v>66356.1706750101</v>
      </c>
      <c r="F36" s="17">
        <f>DATOS_PIBPC!AH25</f>
        <v>47960.910576194197</v>
      </c>
      <c r="G36" s="18">
        <f>SUMPRODUCT(DATOS_INF!AH4:AH23,DATOS_POB!AH4:AH23)/SUM(DATOS_POB!AH4:AH23)</f>
        <v>2.1721038556795365</v>
      </c>
      <c r="H36" s="18">
        <f>DATOS_INF!AH24</f>
        <v>2.9495252048520699</v>
      </c>
      <c r="I36" s="18">
        <f>DATOS_INF!AH25</f>
        <v>3.2715729463591998</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6"/>
  <sheetViews>
    <sheetView zoomScaleNormal="100" workbookViewId="0">
      <pane xSplit="1" ySplit="4" topLeftCell="B5" activePane="bottomRight" state="frozen"/>
      <selection pane="topRight" activeCell="B1" sqref="B1"/>
      <selection pane="bottomLeft" activeCell="A5" sqref="A5"/>
      <selection pane="bottomRight" sqref="A1:J1"/>
    </sheetView>
  </sheetViews>
  <sheetFormatPr baseColWidth="10" defaultColWidth="8.6328125" defaultRowHeight="14.5" x14ac:dyDescent="0.35"/>
  <cols>
    <col min="1" max="1" width="8" customWidth="1"/>
    <col min="2" max="10" width="16" customWidth="1"/>
  </cols>
  <sheetData>
    <row r="1" spans="1:10" ht="18.649999999999999" customHeight="1" x14ac:dyDescent="0.35">
      <c r="A1" s="4" t="s">
        <v>84</v>
      </c>
      <c r="B1" s="4"/>
      <c r="C1" s="4"/>
      <c r="D1" s="4"/>
      <c r="E1" s="4"/>
      <c r="F1" s="4"/>
      <c r="G1" s="4"/>
      <c r="H1" s="4"/>
      <c r="I1" s="4"/>
      <c r="J1" s="4"/>
    </row>
    <row r="2" spans="1:10" x14ac:dyDescent="0.35">
      <c r="A2" s="3" t="s">
        <v>85</v>
      </c>
      <c r="B2" s="3"/>
      <c r="C2" s="3"/>
      <c r="D2" s="3"/>
      <c r="E2" s="3"/>
      <c r="F2" s="3"/>
      <c r="G2" s="3"/>
      <c r="H2" s="3"/>
      <c r="I2" s="3"/>
      <c r="J2" s="3"/>
    </row>
    <row r="4" spans="1:10" ht="31.5" customHeight="1" x14ac:dyDescent="0.35">
      <c r="A4" s="10" t="s">
        <v>75</v>
      </c>
      <c r="B4" s="10" t="s">
        <v>86</v>
      </c>
      <c r="C4" s="10" t="s">
        <v>87</v>
      </c>
      <c r="D4" s="10" t="s">
        <v>88</v>
      </c>
      <c r="E4" s="10" t="s">
        <v>81</v>
      </c>
      <c r="F4" s="10" t="s">
        <v>82</v>
      </c>
      <c r="G4" s="10" t="s">
        <v>83</v>
      </c>
      <c r="H4" s="10" t="s">
        <v>89</v>
      </c>
      <c r="I4" s="10" t="s">
        <v>90</v>
      </c>
      <c r="J4" s="10" t="s">
        <v>91</v>
      </c>
    </row>
    <row r="5" spans="1:10" x14ac:dyDescent="0.35">
      <c r="A5" s="15">
        <v>1993</v>
      </c>
      <c r="B5" s="19"/>
      <c r="C5" s="19"/>
      <c r="D5" s="19"/>
      <c r="E5" s="20">
        <f>AGREGADO!G5/100</f>
        <v>0.3213999539532722</v>
      </c>
      <c r="F5" s="20">
        <f>AGREGADO!H5/100</f>
        <v>2.95165696638559E-2</v>
      </c>
      <c r="G5" s="20">
        <f>AGREGADO!I5/100</f>
        <v>2.55857796929705E-2</v>
      </c>
      <c r="H5" s="19"/>
      <c r="I5" s="19"/>
      <c r="J5" s="19"/>
    </row>
    <row r="6" spans="1:10" x14ac:dyDescent="0.35">
      <c r="A6" s="15">
        <v>1994</v>
      </c>
      <c r="B6" s="20">
        <f>AGREGADO!D6/AGREGADO!D5-1</f>
        <v>2.2068150474458204E-2</v>
      </c>
      <c r="C6" s="20">
        <f>AGREGADO!E6/AGREGADO!E5-1</f>
        <v>2.761108970287296E-2</v>
      </c>
      <c r="D6" s="20">
        <f>AGREGADO!F6/AGREGADO!F5-1</f>
        <v>4.6865535618183962E-2</v>
      </c>
      <c r="E6" s="20">
        <f>AGREGADO!G6/100</f>
        <v>6.3900979323938109E-2</v>
      </c>
      <c r="F6" s="20">
        <f>AGREGADO!H6/100</f>
        <v>2.6074415921545298E-2</v>
      </c>
      <c r="G6" s="20">
        <f>AGREGADO!I6/100</f>
        <v>2.2190126050420499E-2</v>
      </c>
      <c r="H6" s="19">
        <f t="shared" ref="H6:H36" si="0">B6-E6</f>
        <v>-4.1832828849479906E-2</v>
      </c>
      <c r="I6" s="19">
        <f t="shared" ref="I6:I36" si="1">C6-F6</f>
        <v>1.5366737813276611E-3</v>
      </c>
      <c r="J6" s="19">
        <f t="shared" ref="J6:J36" si="2">D6-G6</f>
        <v>2.4675409567763464E-2</v>
      </c>
    </row>
    <row r="7" spans="1:10" x14ac:dyDescent="0.35">
      <c r="A7" s="15">
        <v>1995</v>
      </c>
      <c r="B7" s="20">
        <f>AGREGADO!D7/AGREGADO!D6-1</f>
        <v>2.2215532918247183E-2</v>
      </c>
      <c r="C7" s="20">
        <f>AGREGADO!E7/AGREGADO!E6-1</f>
        <v>1.4689291669983895E-2</v>
      </c>
      <c r="D7" s="20">
        <f>AGREGADO!F7/AGREGADO!F6-1</f>
        <v>3.2598580236913532E-2</v>
      </c>
      <c r="E7" s="20">
        <f>AGREGADO!G7/100</f>
        <v>4.0147461267954182E-2</v>
      </c>
      <c r="F7" s="20">
        <f>AGREGADO!H7/100</f>
        <v>2.8054196885366197E-2</v>
      </c>
      <c r="G7" s="20">
        <f>AGREGADO!I7/100</f>
        <v>2.6974951830443201E-2</v>
      </c>
      <c r="H7" s="19">
        <f t="shared" si="0"/>
        <v>-1.7931928349706999E-2</v>
      </c>
      <c r="I7" s="19">
        <f t="shared" si="1"/>
        <v>-1.3364905215382302E-2</v>
      </c>
      <c r="J7" s="19">
        <f t="shared" si="2"/>
        <v>5.6236284064703317E-3</v>
      </c>
    </row>
    <row r="8" spans="1:10" x14ac:dyDescent="0.35">
      <c r="A8" s="15">
        <v>1996</v>
      </c>
      <c r="B8" s="20">
        <f>AGREGADO!D8/AGREGADO!D7-1</f>
        <v>1.5051112522652899E-2</v>
      </c>
      <c r="C8" s="20">
        <f>AGREGADO!E8/AGREGADO!E7-1</f>
        <v>2.572463999442709E-2</v>
      </c>
      <c r="D8" s="20">
        <f>AGREGADO!F8/AGREGADO!F7-1</f>
        <v>2.3539637867122876E-2</v>
      </c>
      <c r="E8" s="20">
        <f>AGREGADO!G8/100</f>
        <v>3.2303092333293454E-2</v>
      </c>
      <c r="F8" s="20">
        <f>AGREGADO!H8/100</f>
        <v>2.9312041999344198E-2</v>
      </c>
      <c r="G8" s="20">
        <f>AGREGADO!I8/100</f>
        <v>2.8517823639774901E-2</v>
      </c>
      <c r="H8" s="19">
        <f t="shared" si="0"/>
        <v>-1.7251979810640555E-2</v>
      </c>
      <c r="I8" s="19">
        <f t="shared" si="1"/>
        <v>-3.5874020049171083E-3</v>
      </c>
      <c r="J8" s="19">
        <f t="shared" si="2"/>
        <v>-4.9781857726520252E-3</v>
      </c>
    </row>
    <row r="9" spans="1:10" x14ac:dyDescent="0.35">
      <c r="A9" s="15">
        <v>1997</v>
      </c>
      <c r="B9" s="20">
        <f>AGREGADO!D9/AGREGADO!D8-1</f>
        <v>2.5316532875033326E-2</v>
      </c>
      <c r="C9" s="20">
        <f>AGREGADO!E9/AGREGADO!E8-1</f>
        <v>3.1971656077063093E-2</v>
      </c>
      <c r="D9" s="20">
        <f>AGREGADO!F9/AGREGADO!F8-1</f>
        <v>4.6102109717016004E-2</v>
      </c>
      <c r="E9" s="20">
        <f>AGREGADO!G9/100</f>
        <v>2.2307392327559215E-2</v>
      </c>
      <c r="F9" s="20">
        <f>AGREGADO!H9/100</f>
        <v>2.3376899373073502E-2</v>
      </c>
      <c r="G9" s="20">
        <f>AGREGADO!I9/100</f>
        <v>2.2011431351088202E-2</v>
      </c>
      <c r="H9" s="19">
        <f t="shared" si="0"/>
        <v>3.0091405474741116E-3</v>
      </c>
      <c r="I9" s="19">
        <f t="shared" si="1"/>
        <v>8.5947567039895909E-3</v>
      </c>
      <c r="J9" s="19">
        <f t="shared" si="2"/>
        <v>2.4090678365927803E-2</v>
      </c>
    </row>
    <row r="10" spans="1:10" x14ac:dyDescent="0.35">
      <c r="A10" s="15">
        <v>1998</v>
      </c>
      <c r="B10" s="20">
        <f>AGREGADO!D10/AGREGADO!D9-1</f>
        <v>2.7900421221178862E-2</v>
      </c>
      <c r="C10" s="20">
        <f>AGREGADO!E10/AGREGADO!E9-1</f>
        <v>3.2722298419901374E-2</v>
      </c>
      <c r="D10" s="20">
        <f>AGREGADO!F10/AGREGADO!F9-1</f>
        <v>2.9458867298981062E-2</v>
      </c>
      <c r="E10" s="20">
        <f>AGREGADO!G10/100</f>
        <v>1.7426009050488446E-2</v>
      </c>
      <c r="F10" s="20">
        <f>AGREGADO!H10/100</f>
        <v>1.5522790987436398E-2</v>
      </c>
      <c r="G10" s="20">
        <f>AGREGADO!I10/100</f>
        <v>1.8205616373155698E-2</v>
      </c>
      <c r="H10" s="19">
        <f t="shared" si="0"/>
        <v>1.0474412170690416E-2</v>
      </c>
      <c r="I10" s="19">
        <f t="shared" si="1"/>
        <v>1.7199507432464976E-2</v>
      </c>
      <c r="J10" s="19">
        <f t="shared" si="2"/>
        <v>1.1253250925825364E-2</v>
      </c>
    </row>
    <row r="11" spans="1:10" x14ac:dyDescent="0.35">
      <c r="A11" s="15">
        <v>1999</v>
      </c>
      <c r="B11" s="20">
        <f>AGREGADO!D11/AGREGADO!D10-1</f>
        <v>2.7571143704542056E-2</v>
      </c>
      <c r="C11" s="20">
        <f>AGREGADO!E11/AGREGADO!E10-1</f>
        <v>3.5919803719353993E-2</v>
      </c>
      <c r="D11" s="20">
        <f>AGREGADO!F11/AGREGADO!F10-1</f>
        <v>2.6018073451559598E-2</v>
      </c>
      <c r="E11" s="20">
        <f>AGREGADO!G11/100</f>
        <v>1.4964239008477445E-2</v>
      </c>
      <c r="F11" s="20">
        <f>AGREGADO!H11/100</f>
        <v>2.1880271969735802E-2</v>
      </c>
      <c r="G11" s="20">
        <f>AGREGADO!I11/100</f>
        <v>1.7529508005142001E-2</v>
      </c>
      <c r="H11" s="19">
        <f t="shared" si="0"/>
        <v>1.2606904696064611E-2</v>
      </c>
      <c r="I11" s="19">
        <f t="shared" si="1"/>
        <v>1.4039531749618191E-2</v>
      </c>
      <c r="J11" s="19">
        <f t="shared" si="2"/>
        <v>8.4885654464175973E-3</v>
      </c>
    </row>
    <row r="12" spans="1:10" x14ac:dyDescent="0.35">
      <c r="A12" s="15">
        <v>2000</v>
      </c>
      <c r="B12" s="20">
        <f>AGREGADO!D12/AGREGADO!D11-1</f>
        <v>3.5826933254175852E-2</v>
      </c>
      <c r="C12" s="20">
        <f>AGREGADO!E12/AGREGADO!E11-1</f>
        <v>2.9258625437009966E-2</v>
      </c>
      <c r="D12" s="20">
        <f>AGREGADO!F12/AGREGADO!F11-1</f>
        <v>4.1515806138273437E-2</v>
      </c>
      <c r="E12" s="20">
        <f>AGREGADO!G12/100</f>
        <v>2.4907562623982655E-2</v>
      </c>
      <c r="F12" s="20">
        <f>AGREGADO!H12/100</f>
        <v>3.3768572714992902E-2</v>
      </c>
      <c r="G12" s="20">
        <f>AGREGADO!I12/100</f>
        <v>1.18295624210408E-2</v>
      </c>
      <c r="H12" s="19">
        <f t="shared" si="0"/>
        <v>1.0919370630193197E-2</v>
      </c>
      <c r="I12" s="19">
        <f t="shared" si="1"/>
        <v>-4.5099472779829355E-3</v>
      </c>
      <c r="J12" s="19">
        <f t="shared" si="2"/>
        <v>2.9686243717232635E-2</v>
      </c>
    </row>
    <row r="13" spans="1:10" x14ac:dyDescent="0.35">
      <c r="A13" s="15">
        <v>2001</v>
      </c>
      <c r="B13" s="20">
        <f>AGREGADO!D13/AGREGADO!D12-1</f>
        <v>1.8526279427774961E-2</v>
      </c>
      <c r="C13" s="20">
        <f>AGREGADO!E13/AGREGADO!E12-1</f>
        <v>-3.8731923724566464E-4</v>
      </c>
      <c r="D13" s="20">
        <f>AGREGADO!F13/AGREGADO!F12-1</f>
        <v>1.997599243202175E-2</v>
      </c>
      <c r="E13" s="20">
        <f>AGREGADO!G13/100</f>
        <v>2.728421263222533E-2</v>
      </c>
      <c r="F13" s="20">
        <f>AGREGADO!H13/100</f>
        <v>2.8261711188540702E-2</v>
      </c>
      <c r="G13" s="20">
        <f>AGREGADO!I13/100</f>
        <v>1.5323496027241802E-2</v>
      </c>
      <c r="H13" s="19">
        <f t="shared" si="0"/>
        <v>-8.7579332044503688E-3</v>
      </c>
      <c r="I13" s="19">
        <f t="shared" si="1"/>
        <v>-2.8649030425786367E-2</v>
      </c>
      <c r="J13" s="19">
        <f t="shared" si="2"/>
        <v>4.6524964047799482E-3</v>
      </c>
    </row>
    <row r="14" spans="1:10" x14ac:dyDescent="0.35">
      <c r="A14" s="15">
        <v>2002</v>
      </c>
      <c r="B14" s="20">
        <f>AGREGADO!D14/AGREGADO!D13-1</f>
        <v>4.5486932728728835E-3</v>
      </c>
      <c r="C14" s="20">
        <f>AGREGADO!E14/AGREGADO!E13-1</f>
        <v>7.6123685607516478E-3</v>
      </c>
      <c r="D14" s="20">
        <f>AGREGADO!F14/AGREGADO!F13-1</f>
        <v>1.2793654372253549E-2</v>
      </c>
      <c r="E14" s="20">
        <f>AGREGADO!G14/100</f>
        <v>2.270290001803189E-2</v>
      </c>
      <c r="F14" s="20">
        <f>AGREGADO!H14/100</f>
        <v>1.5860316265060098E-2</v>
      </c>
      <c r="G14" s="20">
        <f>AGREGADO!I14/100</f>
        <v>1.5204024594745499E-2</v>
      </c>
      <c r="H14" s="19">
        <f t="shared" si="0"/>
        <v>-1.8154206745159007E-2</v>
      </c>
      <c r="I14" s="19">
        <f t="shared" si="1"/>
        <v>-8.2479477043084504E-3</v>
      </c>
      <c r="J14" s="19">
        <f t="shared" si="2"/>
        <v>-2.4103702224919504E-3</v>
      </c>
    </row>
    <row r="15" spans="1:10" x14ac:dyDescent="0.35">
      <c r="A15" s="15">
        <v>2003</v>
      </c>
      <c r="B15" s="20">
        <f>AGREGADO!D15/AGREGADO!D14-1</f>
        <v>2.0144182740182703E-3</v>
      </c>
      <c r="C15" s="20">
        <f>AGREGADO!E15/AGREGADO!E14-1</f>
        <v>1.9158824750842074E-2</v>
      </c>
      <c r="D15" s="20">
        <f>AGREGADO!F15/AGREGADO!F14-1</f>
        <v>2.7390055443688999E-2</v>
      </c>
      <c r="E15" s="20">
        <f>AGREGADO!G15/100</f>
        <v>2.1925630180620163E-2</v>
      </c>
      <c r="F15" s="20">
        <f>AGREGADO!H15/100</f>
        <v>2.2700949733611503E-2</v>
      </c>
      <c r="G15" s="20">
        <f>AGREGADO!I15/100</f>
        <v>1.3765003854201301E-2</v>
      </c>
      <c r="H15" s="19">
        <f t="shared" si="0"/>
        <v>-1.9911211906601892E-2</v>
      </c>
      <c r="I15" s="19">
        <f t="shared" si="1"/>
        <v>-3.542124982769429E-3</v>
      </c>
      <c r="J15" s="19">
        <f t="shared" si="2"/>
        <v>1.3625051589487697E-2</v>
      </c>
    </row>
    <row r="16" spans="1:10" x14ac:dyDescent="0.35">
      <c r="A16" s="15">
        <v>2004</v>
      </c>
      <c r="B16" s="20">
        <f>AGREGADO!D16/AGREGADO!D15-1</f>
        <v>1.7429966322247248E-2</v>
      </c>
      <c r="C16" s="20">
        <f>AGREGADO!E16/AGREGADO!E15-1</f>
        <v>2.8911109158190618E-2</v>
      </c>
      <c r="D16" s="20">
        <f>AGREGADO!F16/AGREGADO!F15-1</f>
        <v>1.7454946887384803E-2</v>
      </c>
      <c r="E16" s="20">
        <f>AGREGADO!G16/100</f>
        <v>2.2238677444197354E-2</v>
      </c>
      <c r="F16" s="20">
        <f>AGREGADO!H16/100</f>
        <v>2.6772366930917203E-2</v>
      </c>
      <c r="G16" s="20">
        <f>AGREGADO!I16/100</f>
        <v>1.39039756680422E-2</v>
      </c>
      <c r="H16" s="19">
        <f t="shared" si="0"/>
        <v>-4.8087111219501065E-3</v>
      </c>
      <c r="I16" s="19">
        <f t="shared" si="1"/>
        <v>2.1387422272734144E-3</v>
      </c>
      <c r="J16" s="19">
        <f t="shared" si="2"/>
        <v>3.5509712193426031E-3</v>
      </c>
    </row>
    <row r="17" spans="1:10" x14ac:dyDescent="0.35">
      <c r="A17" s="15">
        <v>2005</v>
      </c>
      <c r="B17" s="20">
        <f>AGREGADO!D17/AGREGADO!D16-1</f>
        <v>1.2378179603768746E-2</v>
      </c>
      <c r="C17" s="20">
        <f>AGREGADO!E17/AGREGADO!E16-1</f>
        <v>2.5341107048216127E-2</v>
      </c>
      <c r="D17" s="20">
        <f>AGREGADO!F17/AGREGADO!F16-1</f>
        <v>2.0872998807228704E-2</v>
      </c>
      <c r="E17" s="20">
        <f>AGREGADO!G17/100</f>
        <v>2.1579035075779279E-2</v>
      </c>
      <c r="F17" s="20">
        <f>AGREGADO!H17/100</f>
        <v>3.3927468454955E-2</v>
      </c>
      <c r="G17" s="20">
        <f>AGREGADO!I17/100</f>
        <v>2.0891364902506999E-2</v>
      </c>
      <c r="H17" s="19">
        <f t="shared" si="0"/>
        <v>-9.2008554720105322E-3</v>
      </c>
      <c r="I17" s="19">
        <f t="shared" si="1"/>
        <v>-8.5863614067388724E-3</v>
      </c>
      <c r="J17" s="19">
        <f t="shared" si="2"/>
        <v>-1.8366095278294498E-5</v>
      </c>
    </row>
    <row r="18" spans="1:10" x14ac:dyDescent="0.35">
      <c r="A18" s="15">
        <v>2006</v>
      </c>
      <c r="B18" s="20">
        <f>AGREGADO!D18/AGREGADO!D17-1</f>
        <v>2.8325695149329144E-2</v>
      </c>
      <c r="C18" s="20">
        <f>AGREGADO!E18/AGREGADO!E17-1</f>
        <v>1.7981987445631953E-2</v>
      </c>
      <c r="D18" s="20">
        <f>AGREGADO!F18/AGREGADO!F17-1</f>
        <v>1.4414302818719138E-2</v>
      </c>
      <c r="E18" s="20">
        <f>AGREGADO!G18/100</f>
        <v>2.1960450409206717E-2</v>
      </c>
      <c r="F18" s="20">
        <f>AGREGADO!H18/100</f>
        <v>3.2259441007040396E-2</v>
      </c>
      <c r="G18" s="20">
        <f>AGREGADO!I18/100</f>
        <v>2.4556616643929101E-2</v>
      </c>
      <c r="H18" s="19">
        <f t="shared" si="0"/>
        <v>6.3652447401224277E-3</v>
      </c>
      <c r="I18" s="19">
        <f t="shared" si="1"/>
        <v>-1.4277453561408443E-2</v>
      </c>
      <c r="J18" s="19">
        <f t="shared" si="2"/>
        <v>-1.0142313825209963E-2</v>
      </c>
    </row>
    <row r="19" spans="1:10" x14ac:dyDescent="0.35">
      <c r="A19" s="15">
        <v>2007</v>
      </c>
      <c r="B19" s="20">
        <f>AGREGADO!D19/AGREGADO!D18-1</f>
        <v>2.4666867504383738E-2</v>
      </c>
      <c r="C19" s="20">
        <f>AGREGADO!E19/AGREGADO!E18-1</f>
        <v>1.0383438213052765E-2</v>
      </c>
      <c r="D19" s="20">
        <f>AGREGADO!F19/AGREGADO!F18-1</f>
        <v>2.1325355846651073E-2</v>
      </c>
      <c r="E19" s="20">
        <f>AGREGADO!G19/100</f>
        <v>2.2613830673274958E-2</v>
      </c>
      <c r="F19" s="20">
        <f>AGREGADO!H19/100</f>
        <v>2.8526724815013803E-2</v>
      </c>
      <c r="G19" s="20">
        <f>AGREGADO!I19/100</f>
        <v>2.3865615077332699E-2</v>
      </c>
      <c r="H19" s="19">
        <f t="shared" si="0"/>
        <v>2.0530368311087802E-3</v>
      </c>
      <c r="I19" s="19">
        <f t="shared" si="1"/>
        <v>-1.8143286601961038E-2</v>
      </c>
      <c r="J19" s="19">
        <f t="shared" si="2"/>
        <v>-2.5402592306816262E-3</v>
      </c>
    </row>
    <row r="20" spans="1:10" x14ac:dyDescent="0.35">
      <c r="A20" s="15">
        <v>2008</v>
      </c>
      <c r="B20" s="20">
        <f>AGREGADO!D20/AGREGADO!D19-1</f>
        <v>-9.2504121874836809E-4</v>
      </c>
      <c r="C20" s="20">
        <f>AGREGADO!E20/AGREGADO!E19-1</f>
        <v>-8.2888811946477681E-3</v>
      </c>
      <c r="D20" s="20">
        <f>AGREGADO!F20/AGREGADO!F19-1</f>
        <v>-8.3296794276080943E-3</v>
      </c>
      <c r="E20" s="20">
        <f>AGREGADO!G20/100</f>
        <v>3.4338249553473768E-2</v>
      </c>
      <c r="F20" s="20">
        <f>AGREGADO!H20/100</f>
        <v>3.8391002966509997E-2</v>
      </c>
      <c r="G20" s="20">
        <f>AGREGADO!I20/100</f>
        <v>3.5214085634253899E-2</v>
      </c>
      <c r="H20" s="19">
        <f t="shared" si="0"/>
        <v>-3.5263290772222136E-2</v>
      </c>
      <c r="I20" s="19">
        <f t="shared" si="1"/>
        <v>-4.6679884161157766E-2</v>
      </c>
      <c r="J20" s="19">
        <f t="shared" si="2"/>
        <v>-4.3543765061861993E-2</v>
      </c>
    </row>
    <row r="21" spans="1:10" x14ac:dyDescent="0.35">
      <c r="A21" s="15">
        <v>2009</v>
      </c>
      <c r="B21" s="20">
        <f>AGREGADO!D21/AGREGADO!D20-1</f>
        <v>-4.8092074253049399E-2</v>
      </c>
      <c r="C21" s="20">
        <f>AGREGADO!E21/AGREGADO!E20-1</f>
        <v>-3.4268319378947365E-2</v>
      </c>
      <c r="D21" s="20">
        <f>AGREGADO!F21/AGREGADO!F20-1</f>
        <v>-5.3063777776379495E-2</v>
      </c>
      <c r="E21" s="20">
        <f>AGREGADO!G21/100</f>
        <v>3.3941485681173765E-3</v>
      </c>
      <c r="F21" s="20">
        <f>AGREGADO!H21/100</f>
        <v>-3.55546266299747E-3</v>
      </c>
      <c r="G21" s="20">
        <f>AGREGADO!I21/100</f>
        <v>1.96173173560109E-2</v>
      </c>
      <c r="H21" s="19">
        <f t="shared" si="0"/>
        <v>-5.1486222821166779E-2</v>
      </c>
      <c r="I21" s="19">
        <f t="shared" si="1"/>
        <v>-3.0712856715949893E-2</v>
      </c>
      <c r="J21" s="19">
        <f t="shared" si="2"/>
        <v>-7.2681095132390391E-2</v>
      </c>
    </row>
    <row r="22" spans="1:10" x14ac:dyDescent="0.35">
      <c r="A22" s="15">
        <v>2010</v>
      </c>
      <c r="B22" s="20">
        <f>AGREGADO!D22/AGREGADO!D21-1</f>
        <v>1.8577909290588446E-2</v>
      </c>
      <c r="C22" s="20">
        <f>AGREGADO!E22/AGREGADO!E21-1</f>
        <v>1.8299236937965979E-2</v>
      </c>
      <c r="D22" s="20">
        <f>AGREGADO!F22/AGREGADO!F21-1</f>
        <v>1.4620694768097797E-2</v>
      </c>
      <c r="E22" s="20">
        <f>AGREGADO!G22/100</f>
        <v>1.5185468953835659E-2</v>
      </c>
      <c r="F22" s="20">
        <f>AGREGADO!H22/100</f>
        <v>1.6400434423899001E-2</v>
      </c>
      <c r="G22" s="20">
        <f>AGREGADO!I22/100</f>
        <v>2.49265472467066E-2</v>
      </c>
      <c r="H22" s="19">
        <f t="shared" si="0"/>
        <v>3.3924403367527872E-3</v>
      </c>
      <c r="I22" s="19">
        <f t="shared" si="1"/>
        <v>1.898802514066978E-3</v>
      </c>
      <c r="J22" s="19">
        <f t="shared" si="2"/>
        <v>-1.0305852478608803E-2</v>
      </c>
    </row>
    <row r="23" spans="1:10" x14ac:dyDescent="0.35">
      <c r="A23" s="15">
        <v>2011</v>
      </c>
      <c r="B23" s="20">
        <f>AGREGADO!D23/AGREGADO!D22-1</f>
        <v>1.9668945136105398E-2</v>
      </c>
      <c r="C23" s="20">
        <f>AGREGADO!E23/AGREGADO!E22-1</f>
        <v>7.6279640542922245E-3</v>
      </c>
      <c r="D23" s="20">
        <f>AGREGADO!F23/AGREGADO!F22-1</f>
        <v>6.634889119989662E-4</v>
      </c>
      <c r="E23" s="20">
        <f>AGREGADO!G23/100</f>
        <v>2.6484193737392872E-2</v>
      </c>
      <c r="F23" s="20">
        <f>AGREGADO!H23/100</f>
        <v>3.156841568622E-2</v>
      </c>
      <c r="G23" s="20">
        <f>AGREGADO!I23/100</f>
        <v>3.8561124468281999E-2</v>
      </c>
      <c r="H23" s="19">
        <f t="shared" si="0"/>
        <v>-6.8152486012874741E-3</v>
      </c>
      <c r="I23" s="19">
        <f t="shared" si="1"/>
        <v>-2.3940451631927775E-2</v>
      </c>
      <c r="J23" s="19">
        <f t="shared" si="2"/>
        <v>-3.7897635556283032E-2</v>
      </c>
    </row>
    <row r="24" spans="1:10" x14ac:dyDescent="0.35">
      <c r="A24" s="15">
        <v>2012</v>
      </c>
      <c r="B24" s="20">
        <f>AGREGADO!D24/AGREGADO!D23-1</f>
        <v>-1.1323458513307183E-2</v>
      </c>
      <c r="C24" s="20">
        <f>AGREGADO!E24/AGREGADO!E23-1</f>
        <v>1.4757059689730401E-2</v>
      </c>
      <c r="D24" s="20">
        <f>AGREGADO!F24/AGREGADO!F23-1</f>
        <v>8.0766164296965925E-3</v>
      </c>
      <c r="E24" s="20">
        <f>AGREGADO!G24/100</f>
        <v>2.3843611571251758E-2</v>
      </c>
      <c r="F24" s="20">
        <f>AGREGADO!H24/100</f>
        <v>2.0693372652606699E-2</v>
      </c>
      <c r="G24" s="20">
        <f>AGREGADO!I24/100</f>
        <v>2.5732347965453001E-2</v>
      </c>
      <c r="H24" s="19">
        <f t="shared" si="0"/>
        <v>-3.5167070084558938E-2</v>
      </c>
      <c r="I24" s="19">
        <f t="shared" si="1"/>
        <v>-5.9363129628762987E-3</v>
      </c>
      <c r="J24" s="19">
        <f t="shared" si="2"/>
        <v>-1.7655731535756409E-2</v>
      </c>
    </row>
    <row r="25" spans="1:10" x14ac:dyDescent="0.35">
      <c r="A25" s="15">
        <v>2013</v>
      </c>
      <c r="B25" s="20">
        <f>AGREGADO!D25/AGREGADO!D24-1</f>
        <v>-3.1864075080583198E-3</v>
      </c>
      <c r="C25" s="20">
        <f>AGREGADO!E25/AGREGADO!E24-1</f>
        <v>1.3481625273179532E-2</v>
      </c>
      <c r="D25" s="20">
        <f>AGREGADO!F25/AGREGADO!F24-1</f>
        <v>1.0397015469407522E-2</v>
      </c>
      <c r="E25" s="20">
        <f>AGREGADO!G25/100</f>
        <v>1.232556810478209E-2</v>
      </c>
      <c r="F25" s="20">
        <f>AGREGADO!H25/100</f>
        <v>1.46483265562717E-2</v>
      </c>
      <c r="G25" s="20">
        <f>AGREGADO!I25/100</f>
        <v>2.2916666666665902E-2</v>
      </c>
      <c r="H25" s="19">
        <f t="shared" si="0"/>
        <v>-1.5511975612840409E-2</v>
      </c>
      <c r="I25" s="19">
        <f t="shared" si="1"/>
        <v>-1.1667012830921687E-3</v>
      </c>
      <c r="J25" s="19">
        <f t="shared" si="2"/>
        <v>-1.2519651197258379E-2</v>
      </c>
    </row>
    <row r="26" spans="1:10" x14ac:dyDescent="0.35">
      <c r="A26" s="15">
        <v>2014</v>
      </c>
      <c r="B26" s="20">
        <f>AGREGADO!D26/AGREGADO!D25-1</f>
        <v>1.2871387509083565E-2</v>
      </c>
      <c r="C26" s="20">
        <f>AGREGADO!E26/AGREGADO!E25-1</f>
        <v>1.7109454385731526E-2</v>
      </c>
      <c r="D26" s="20">
        <f>AGREGADO!F26/AGREGADO!F25-1</f>
        <v>2.392299118819996E-2</v>
      </c>
      <c r="E26" s="20">
        <f>AGREGADO!G26/100</f>
        <v>4.031264033847984E-3</v>
      </c>
      <c r="F26" s="20">
        <f>AGREGADO!H26/100</f>
        <v>1.6222229774081699E-2</v>
      </c>
      <c r="G26" s="20">
        <f>AGREGADO!I26/100</f>
        <v>1.4511201629327898E-2</v>
      </c>
      <c r="H26" s="19">
        <f t="shared" si="0"/>
        <v>8.8401234752355819E-3</v>
      </c>
      <c r="I26" s="19">
        <f t="shared" si="1"/>
        <v>8.8722461164982697E-4</v>
      </c>
      <c r="J26" s="19">
        <f t="shared" si="2"/>
        <v>9.4117895588720617E-3</v>
      </c>
    </row>
    <row r="27" spans="1:10" x14ac:dyDescent="0.35">
      <c r="A27" s="15">
        <v>2015</v>
      </c>
      <c r="B27" s="20">
        <f>AGREGADO!D27/AGREGADO!D26-1</f>
        <v>1.8647489256516492E-2</v>
      </c>
      <c r="C27" s="20">
        <f>AGREGADO!E27/AGREGADO!E26-1</f>
        <v>2.1274113812361328E-2</v>
      </c>
      <c r="D27" s="20">
        <f>AGREGADO!F27/AGREGADO!F26-1</f>
        <v>1.4059889671456105E-2</v>
      </c>
      <c r="E27" s="20">
        <f>AGREGADO!G27/100</f>
        <v>6.6346597892436108E-4</v>
      </c>
      <c r="F27" s="20">
        <f>AGREGADO!H27/100</f>
        <v>1.18627135552451E-3</v>
      </c>
      <c r="G27" s="20">
        <f>AGREGADO!I27/100</f>
        <v>3.6804684232535998E-3</v>
      </c>
      <c r="H27" s="19">
        <f t="shared" si="0"/>
        <v>1.7984023277592132E-2</v>
      </c>
      <c r="I27" s="19">
        <f t="shared" si="1"/>
        <v>2.008784245683682E-2</v>
      </c>
      <c r="J27" s="19">
        <f t="shared" si="2"/>
        <v>1.0379421248202505E-2</v>
      </c>
    </row>
    <row r="28" spans="1:10" x14ac:dyDescent="0.35">
      <c r="A28" s="15">
        <v>2016</v>
      </c>
      <c r="B28" s="20">
        <f>AGREGADO!D28/AGREGADO!D27-1</f>
        <v>1.5233877327736511E-2</v>
      </c>
      <c r="C28" s="20">
        <f>AGREGADO!E28/AGREGADO!E27-1</f>
        <v>1.022665891179475E-2</v>
      </c>
      <c r="D28" s="20">
        <f>AGREGADO!F28/AGREGADO!F27-1</f>
        <v>1.3979908727900225E-2</v>
      </c>
      <c r="E28" s="20">
        <f>AGREGADO!G28/100</f>
        <v>1.9601948343040774E-3</v>
      </c>
      <c r="F28" s="20">
        <f>AGREGADO!H28/100</f>
        <v>1.26158320570536E-2</v>
      </c>
      <c r="G28" s="20">
        <f>AGREGADO!I28/100</f>
        <v>1.0084173681141E-2</v>
      </c>
      <c r="H28" s="19">
        <f t="shared" si="0"/>
        <v>1.3273682493432434E-2</v>
      </c>
      <c r="I28" s="19">
        <f t="shared" si="1"/>
        <v>-2.3891731452588497E-3</v>
      </c>
      <c r="J28" s="19">
        <f t="shared" si="2"/>
        <v>3.8957350467592258E-3</v>
      </c>
    </row>
    <row r="29" spans="1:10" x14ac:dyDescent="0.35">
      <c r="A29" s="15">
        <v>2017</v>
      </c>
      <c r="B29" s="20">
        <f>AGREGADO!D29/AGREGADO!D28-1</f>
        <v>2.4237574577230969E-2</v>
      </c>
      <c r="C29" s="20">
        <f>AGREGADO!E29/AGREGADO!E28-1</f>
        <v>1.7501409492395537E-2</v>
      </c>
      <c r="D29" s="20">
        <f>AGREGADO!F29/AGREGADO!F28-1</f>
        <v>2.4625494765584399E-2</v>
      </c>
      <c r="E29" s="20">
        <f>AGREGADO!G29/100</f>
        <v>1.4351853708106049E-2</v>
      </c>
      <c r="F29" s="20">
        <f>AGREGADO!H29/100</f>
        <v>2.1301100036596101E-2</v>
      </c>
      <c r="G29" s="20">
        <f>AGREGADO!I29/100</f>
        <v>2.5577557755774701E-2</v>
      </c>
      <c r="H29" s="19">
        <f t="shared" si="0"/>
        <v>9.8857208691249202E-3</v>
      </c>
      <c r="I29" s="19">
        <f t="shared" si="1"/>
        <v>-3.7996905442005645E-3</v>
      </c>
      <c r="J29" s="19">
        <f t="shared" si="2"/>
        <v>-9.5206299019030133E-4</v>
      </c>
    </row>
    <row r="30" spans="1:10" x14ac:dyDescent="0.35">
      <c r="A30" s="15">
        <v>2018</v>
      </c>
      <c r="B30" s="20">
        <f>AGREGADO!D30/AGREGADO!D29-1</f>
        <v>1.4711211091016141E-2</v>
      </c>
      <c r="C30" s="20">
        <f>AGREGADO!E30/AGREGADO!E29-1</f>
        <v>2.3644424994399005E-2</v>
      </c>
      <c r="D30" s="20">
        <f>AGREGADO!F30/AGREGADO!F29-1</f>
        <v>1.0565116007130504E-2</v>
      </c>
      <c r="E30" s="20">
        <f>AGREGADO!G30/100</f>
        <v>1.6020059898263703E-2</v>
      </c>
      <c r="F30" s="20">
        <f>AGREGADO!H30/100</f>
        <v>2.4425832969281702E-2</v>
      </c>
      <c r="G30" s="20">
        <f>AGREGADO!I30/100</f>
        <v>2.2928399034593802E-2</v>
      </c>
      <c r="H30" s="19">
        <f t="shared" si="0"/>
        <v>-1.3088488072475618E-3</v>
      </c>
      <c r="I30" s="19">
        <f t="shared" si="1"/>
        <v>-7.8140797488269673E-4</v>
      </c>
      <c r="J30" s="19">
        <f t="shared" si="2"/>
        <v>-1.2363283027463298E-2</v>
      </c>
    </row>
    <row r="31" spans="1:10" x14ac:dyDescent="0.35">
      <c r="A31" s="15">
        <v>2019</v>
      </c>
      <c r="B31" s="20">
        <f>AGREGADO!D31/AGREGADO!D30-1</f>
        <v>1.438254806734518E-2</v>
      </c>
      <c r="C31" s="20">
        <f>AGREGADO!E31/AGREGADO!E30-1</f>
        <v>2.0567659032818764E-2</v>
      </c>
      <c r="D31" s="20">
        <f>AGREGADO!F31/AGREGADO!F30-1</f>
        <v>7.3657613201751904E-3</v>
      </c>
      <c r="E31" s="20">
        <f>AGREGADO!G31/100</f>
        <v>1.1402565897313812E-2</v>
      </c>
      <c r="F31" s="20">
        <f>AGREGADO!H31/100</f>
        <v>1.8122100752602101E-2</v>
      </c>
      <c r="G31" s="20">
        <f>AGREGADO!I31/100</f>
        <v>1.7381046008651299E-2</v>
      </c>
      <c r="H31" s="19">
        <f t="shared" si="0"/>
        <v>2.9799821700313683E-3</v>
      </c>
      <c r="I31" s="19">
        <f t="shared" si="1"/>
        <v>2.4455582802166628E-3</v>
      </c>
      <c r="J31" s="19">
        <f t="shared" si="2"/>
        <v>-1.0015284688476109E-2</v>
      </c>
    </row>
    <row r="32" spans="1:10" x14ac:dyDescent="0.35">
      <c r="A32" s="15">
        <v>2020</v>
      </c>
      <c r="B32" s="20">
        <f>AGREGADO!D32/AGREGADO!D31-1</f>
        <v>-6.1885024475690775E-2</v>
      </c>
      <c r="C32" s="20">
        <f>AGREGADO!E32/AGREGADO!E31-1</f>
        <v>-2.5618073853474588E-2</v>
      </c>
      <c r="D32" s="20">
        <f>AGREGADO!F32/AGREGADO!F31-1</f>
        <v>-0.10200188793660436</v>
      </c>
      <c r="E32" s="20">
        <f>AGREGADO!G32/100</f>
        <v>1.8714692395596338E-3</v>
      </c>
      <c r="F32" s="20">
        <f>AGREGADO!H32/100</f>
        <v>1.2335843963062899E-2</v>
      </c>
      <c r="G32" s="20">
        <f>AGREGADO!I32/100</f>
        <v>9.8948670377249099E-3</v>
      </c>
      <c r="H32" s="19">
        <f t="shared" si="0"/>
        <v>-6.3756493715250412E-2</v>
      </c>
      <c r="I32" s="19">
        <f t="shared" si="1"/>
        <v>-3.7953917816537487E-2</v>
      </c>
      <c r="J32" s="19">
        <f t="shared" si="2"/>
        <v>-0.11189675497432927</v>
      </c>
    </row>
    <row r="33" spans="1:10" x14ac:dyDescent="0.35">
      <c r="A33" s="15">
        <v>2021</v>
      </c>
      <c r="B33" s="20">
        <f>AGREGADO!D33/AGREGADO!D32-1</f>
        <v>6.3697254006872983E-2</v>
      </c>
      <c r="C33" s="20">
        <f>AGREGADO!E33/AGREGADO!E32-1</f>
        <v>5.8883410389083402E-2</v>
      </c>
      <c r="D33" s="20">
        <f>AGREGADO!F33/AGREGADO!F32-1</f>
        <v>8.1542078258153072E-2</v>
      </c>
      <c r="E33" s="20">
        <f>AGREGADO!G33/100</f>
        <v>2.4091377841179189E-2</v>
      </c>
      <c r="F33" s="20">
        <f>AGREGADO!H33/100</f>
        <v>4.6978588636374205E-2</v>
      </c>
      <c r="G33" s="20">
        <f>AGREGADO!I33/100</f>
        <v>2.5183710961421298E-2</v>
      </c>
      <c r="H33" s="19">
        <f t="shared" si="0"/>
        <v>3.960587616569379E-2</v>
      </c>
      <c r="I33" s="19">
        <f t="shared" si="1"/>
        <v>1.1904821752709197E-2</v>
      </c>
      <c r="J33" s="19">
        <f t="shared" si="2"/>
        <v>5.6358367296731771E-2</v>
      </c>
    </row>
    <row r="34" spans="1:10" x14ac:dyDescent="0.35">
      <c r="A34" s="15">
        <v>2022</v>
      </c>
      <c r="B34" s="20">
        <f>AGREGADO!D34/AGREGADO!D33-1</f>
        <v>3.3623141134019763E-2</v>
      </c>
      <c r="C34" s="20">
        <f>AGREGADO!E34/AGREGADO!E33-1</f>
        <v>1.9238617291810423E-2</v>
      </c>
      <c r="D34" s="20">
        <f>AGREGADO!F34/AGREGADO!F33-1</f>
        <v>4.1853701711176639E-2</v>
      </c>
      <c r="E34" s="20">
        <f>AGREGADO!G34/100</f>
        <v>7.7665475077708782E-2</v>
      </c>
      <c r="F34" s="20">
        <f>AGREGADO!H34/100</f>
        <v>8.00279982052121E-2</v>
      </c>
      <c r="G34" s="20">
        <f>AGREGADO!I34/100</f>
        <v>7.9220488314790199E-2</v>
      </c>
      <c r="H34" s="19">
        <f t="shared" si="0"/>
        <v>-4.4042333943689019E-2</v>
      </c>
      <c r="I34" s="19">
        <f t="shared" si="1"/>
        <v>-6.0789380913401678E-2</v>
      </c>
      <c r="J34" s="19">
        <f t="shared" si="2"/>
        <v>-3.7366786603613561E-2</v>
      </c>
    </row>
    <row r="35" spans="1:10" x14ac:dyDescent="0.35">
      <c r="A35" s="15">
        <v>2023</v>
      </c>
      <c r="B35" s="20">
        <f>AGREGADO!D35/AGREGADO!D34-1</f>
        <v>2.2692290107229063E-4</v>
      </c>
      <c r="C35" s="20">
        <f>AGREGADO!E35/AGREGADO!E34-1</f>
        <v>2.0355998754099325E-2</v>
      </c>
      <c r="D35" s="20">
        <f>AGREGADO!F35/AGREGADO!F34-1</f>
        <v>-1.0283736805902222E-2</v>
      </c>
      <c r="E35" s="20">
        <f>AGREGADO!G35/100</f>
        <v>5.2573589909376592E-2</v>
      </c>
      <c r="F35" s="20">
        <f>AGREGADO!H35/100</f>
        <v>4.1163383837448803E-2</v>
      </c>
      <c r="G35" s="20">
        <f>AGREGADO!I35/100</f>
        <v>6.7939670679396297E-2</v>
      </c>
      <c r="H35" s="19">
        <f t="shared" si="0"/>
        <v>-5.2346667008304301E-2</v>
      </c>
      <c r="I35" s="19">
        <f t="shared" si="1"/>
        <v>-2.0807385083349478E-2</v>
      </c>
      <c r="J35" s="19">
        <f t="shared" si="2"/>
        <v>-7.8223407485298518E-2</v>
      </c>
    </row>
    <row r="36" spans="1:10" x14ac:dyDescent="0.35">
      <c r="A36" s="15">
        <v>2024</v>
      </c>
      <c r="B36" s="20">
        <f>AGREGADO!D36/AGREGADO!D35-1</f>
        <v>5.0878295674767759E-3</v>
      </c>
      <c r="C36" s="20">
        <f>AGREGADO!E36/AGREGADO!E35-1</f>
        <v>1.7941923515304659E-2</v>
      </c>
      <c r="D36" s="20">
        <f>AGREGADO!F36/AGREGADO!F35-1</f>
        <v>5.4183999489998413E-4</v>
      </c>
      <c r="E36" s="20">
        <f>AGREGADO!G36/100</f>
        <v>2.1721038556795365E-2</v>
      </c>
      <c r="F36" s="20">
        <f>AGREGADO!H36/100</f>
        <v>2.9495252048520701E-2</v>
      </c>
      <c r="G36" s="20">
        <f>AGREGADO!I36/100</f>
        <v>3.2715729463591997E-2</v>
      </c>
      <c r="H36" s="19">
        <f t="shared" si="0"/>
        <v>-1.6633208989318589E-2</v>
      </c>
      <c r="I36" s="19">
        <f t="shared" si="1"/>
        <v>-1.1553328533216042E-2</v>
      </c>
      <c r="J36" s="19">
        <f t="shared" si="2"/>
        <v>-3.2173889468692013E-2</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5"/>
  <sheetViews>
    <sheetView zoomScaleNormal="100" workbookViewId="0">
      <selection sqref="A1:E1"/>
    </sheetView>
  </sheetViews>
  <sheetFormatPr baseColWidth="10" defaultColWidth="8.6328125" defaultRowHeight="14.5" x14ac:dyDescent="0.35"/>
  <cols>
    <col min="1" max="1" width="38" customWidth="1"/>
    <col min="2" max="4" width="17" customWidth="1"/>
    <col min="5" max="5" width="14" customWidth="1"/>
  </cols>
  <sheetData>
    <row r="1" spans="1:5" ht="18.649999999999999" customHeight="1" x14ac:dyDescent="0.35">
      <c r="A1" s="4" t="s">
        <v>92</v>
      </c>
      <c r="B1" s="4"/>
      <c r="C1" s="4"/>
      <c r="D1" s="4"/>
      <c r="E1" s="4"/>
    </row>
    <row r="3" spans="1:5" x14ac:dyDescent="0.35">
      <c r="A3" s="2" t="s">
        <v>93</v>
      </c>
      <c r="B3" s="2"/>
      <c r="C3" s="2"/>
      <c r="D3" s="2"/>
      <c r="E3" s="2"/>
    </row>
    <row r="4" spans="1:5" x14ac:dyDescent="0.35">
      <c r="A4" s="10" t="s">
        <v>94</v>
      </c>
      <c r="B4" s="10" t="s">
        <v>95</v>
      </c>
      <c r="C4" s="10" t="s">
        <v>67</v>
      </c>
      <c r="D4" s="10" t="s">
        <v>69</v>
      </c>
      <c r="E4" s="10" t="s">
        <v>96</v>
      </c>
    </row>
    <row r="5" spans="1:5" x14ac:dyDescent="0.35">
      <c r="A5" s="21" t="s">
        <v>97</v>
      </c>
      <c r="B5" s="16">
        <f>AVERAGE(AGREGADO!D5:D36)</f>
        <v>32884.081309669906</v>
      </c>
      <c r="C5" s="16">
        <f>AVERAGE(AGREGADO!E5:E36)</f>
        <v>52830.732202912499</v>
      </c>
      <c r="D5" s="16">
        <f>AVERAGE(AGREGADO!F5:F36)</f>
        <v>42127.135959320185</v>
      </c>
      <c r="E5" s="11" t="s">
        <v>98</v>
      </c>
    </row>
    <row r="6" spans="1:5" x14ac:dyDescent="0.35">
      <c r="A6" s="21" t="s">
        <v>99</v>
      </c>
      <c r="B6" s="16">
        <f>MEDIAN(AGREGADO!D5:D36)</f>
        <v>33487.429382555041</v>
      </c>
      <c r="C6" s="16">
        <f>MEDIAN(AGREGADO!E5:E36)</f>
        <v>53146.12636455935</v>
      </c>
      <c r="D6" s="16">
        <f>MEDIAN(AGREGADO!F5:F36)</f>
        <v>43059.581890181951</v>
      </c>
      <c r="E6" s="11" t="s">
        <v>98</v>
      </c>
    </row>
    <row r="7" spans="1:5" x14ac:dyDescent="0.35">
      <c r="A7" s="21" t="s">
        <v>100</v>
      </c>
      <c r="B7" s="16">
        <f>MAX(AGREGADO!D5:D36)</f>
        <v>38296.428118130068</v>
      </c>
      <c r="C7" s="16">
        <f>MAX(AGREGADO!E5:E36)</f>
        <v>66356.1706750101</v>
      </c>
      <c r="D7" s="16">
        <f>MAX(AGREGADO!F5:F36)</f>
        <v>48433.009835766999</v>
      </c>
      <c r="E7" s="11" t="s">
        <v>98</v>
      </c>
    </row>
    <row r="8" spans="1:5" x14ac:dyDescent="0.35">
      <c r="A8" s="21" t="s">
        <v>101</v>
      </c>
      <c r="B8" s="16">
        <f>MIN(AGREGADO!D5:D36)</f>
        <v>25954.893734740119</v>
      </c>
      <c r="C8" s="16">
        <f>MIN(AGREGADO!E5:E36)</f>
        <v>39807.879503420598</v>
      </c>
      <c r="D8" s="16">
        <f>MIN(AGREGADO!F5:F36)</f>
        <v>30862.411812165399</v>
      </c>
      <c r="E8" s="11" t="s">
        <v>98</v>
      </c>
    </row>
    <row r="9" spans="1:5" x14ac:dyDescent="0.35">
      <c r="A9" s="21" t="s">
        <v>102</v>
      </c>
      <c r="B9" s="16">
        <f>STDEV(AGREGADO!D5:D36)</f>
        <v>3415.9152307788595</v>
      </c>
      <c r="C9" s="16">
        <f>STDEV(AGREGADO!E5:E36)</f>
        <v>7095.886313075388</v>
      </c>
      <c r="D9" s="16">
        <f>STDEV(AGREGADO!F5:F36)</f>
        <v>4862.381116319747</v>
      </c>
      <c r="E9" s="11" t="s">
        <v>98</v>
      </c>
    </row>
    <row r="10" spans="1:5" x14ac:dyDescent="0.35">
      <c r="A10" s="21" t="s">
        <v>103</v>
      </c>
      <c r="B10" s="19">
        <f>B9/B5</f>
        <v>0.10387747185670576</v>
      </c>
      <c r="C10" s="19">
        <f>C9/C5</f>
        <v>0.13431360909066106</v>
      </c>
      <c r="D10" s="19">
        <f>D9/D5</f>
        <v>0.11542159241528016</v>
      </c>
      <c r="E10" s="11" t="s">
        <v>104</v>
      </c>
    </row>
    <row r="11" spans="1:5" x14ac:dyDescent="0.35">
      <c r="A11" s="21" t="s">
        <v>105</v>
      </c>
      <c r="B11" s="22">
        <f>(AGREGADO!D36/AGREGADO!D5)^(1/31)-1</f>
        <v>1.2627332696447668E-2</v>
      </c>
      <c r="C11" s="22">
        <f>(AGREGADO!E36/AGREGADO!E5)^(1/31)-1</f>
        <v>1.6619557644486971E-2</v>
      </c>
      <c r="D11" s="22">
        <f>(AGREGADO!F36/AGREGADO!F5)^(1/31)-1</f>
        <v>1.4322479019099443E-2</v>
      </c>
      <c r="E11" s="11" t="s">
        <v>106</v>
      </c>
    </row>
    <row r="12" spans="1:5" x14ac:dyDescent="0.35">
      <c r="A12" s="21" t="s">
        <v>107</v>
      </c>
      <c r="B12" s="19">
        <f>AGREGADO!D36/AGREGADO!D5-1</f>
        <v>0.47549932238293269</v>
      </c>
      <c r="C12" s="19">
        <f>AGREGADO!E36/AGREGADO!E5-1</f>
        <v>0.66691045850126907</v>
      </c>
      <c r="D12" s="19">
        <f>AGREGADO!F36/AGREGADO!F5-1</f>
        <v>0.55402341424557378</v>
      </c>
      <c r="E12" s="11" t="s">
        <v>108</v>
      </c>
    </row>
    <row r="15" spans="1:5" x14ac:dyDescent="0.35">
      <c r="A15" s="2" t="s">
        <v>109</v>
      </c>
      <c r="B15" s="2"/>
      <c r="C15" s="2"/>
      <c r="D15" s="2"/>
      <c r="E15" s="2"/>
    </row>
    <row r="16" spans="1:5" x14ac:dyDescent="0.35">
      <c r="A16" s="10" t="s">
        <v>94</v>
      </c>
      <c r="B16" s="10" t="s">
        <v>95</v>
      </c>
      <c r="C16" s="10" t="s">
        <v>67</v>
      </c>
      <c r="D16" s="10" t="s">
        <v>69</v>
      </c>
      <c r="E16" s="10" t="s">
        <v>96</v>
      </c>
    </row>
    <row r="17" spans="1:5" x14ac:dyDescent="0.35">
      <c r="A17" s="21" t="s">
        <v>97</v>
      </c>
      <c r="B17" s="19">
        <f>AVERAGE(CRECIMIENTO!B6:B36)</f>
        <v>1.2883677755512704E-2</v>
      </c>
      <c r="C17" s="19">
        <f>AVERAGE(CRECIMIENTO!C6:C36)</f>
        <v>1.6762361389288678E-2</v>
      </c>
      <c r="D17" s="19">
        <f>AVERAGE(CRECIMIENTO!D6:D36)</f>
        <v>1.4801981684302622E-2</v>
      </c>
      <c r="E17" s="11" t="s">
        <v>110</v>
      </c>
    </row>
    <row r="18" spans="1:5" x14ac:dyDescent="0.35">
      <c r="A18" s="21" t="s">
        <v>99</v>
      </c>
      <c r="B18" s="19">
        <f>MEDIAN(CRECIMIENTO!B6:B36)</f>
        <v>1.7429966322247248E-2</v>
      </c>
      <c r="C18" s="19">
        <f>MEDIAN(CRECIMIENTO!C6:C36)</f>
        <v>1.8299236937965979E-2</v>
      </c>
      <c r="D18" s="19">
        <f>MEDIAN(CRECIMIENTO!D6:D36)</f>
        <v>1.7454946887384803E-2</v>
      </c>
      <c r="E18" s="11" t="s">
        <v>110</v>
      </c>
    </row>
    <row r="19" spans="1:5" x14ac:dyDescent="0.35">
      <c r="A19" s="21" t="s">
        <v>100</v>
      </c>
      <c r="B19" s="19">
        <f>MAX(CRECIMIENTO!B6:B36)</f>
        <v>6.3697254006872983E-2</v>
      </c>
      <c r="C19" s="19">
        <f>MAX(CRECIMIENTO!C6:C36)</f>
        <v>5.8883410389083402E-2</v>
      </c>
      <c r="D19" s="19">
        <f>MAX(CRECIMIENTO!D6:D36)</f>
        <v>8.1542078258153072E-2</v>
      </c>
      <c r="E19" s="11" t="s">
        <v>110</v>
      </c>
    </row>
    <row r="20" spans="1:5" x14ac:dyDescent="0.35">
      <c r="A20" s="21" t="s">
        <v>101</v>
      </c>
      <c r="B20" s="19">
        <f>MIN(CRECIMIENTO!B6:B36)</f>
        <v>-6.1885024475690775E-2</v>
      </c>
      <c r="C20" s="19">
        <f>MIN(CRECIMIENTO!C6:C36)</f>
        <v>-3.4268319378947365E-2</v>
      </c>
      <c r="D20" s="19">
        <f>MIN(CRECIMIENTO!D6:D36)</f>
        <v>-0.10200188793660436</v>
      </c>
      <c r="E20" s="11" t="s">
        <v>110</v>
      </c>
    </row>
    <row r="21" spans="1:5" x14ac:dyDescent="0.35">
      <c r="A21" s="21" t="s">
        <v>102</v>
      </c>
      <c r="B21" s="19">
        <f>STDEV(CRECIMIENTO!B6:B36)</f>
        <v>2.2908615281955928E-2</v>
      </c>
      <c r="C21" s="19">
        <f>STDEV(CRECIMIENTO!C6:C36)</f>
        <v>1.7230829763026909E-2</v>
      </c>
      <c r="D21" s="19">
        <f>STDEV(CRECIMIENTO!D6:D36)</f>
        <v>3.1119310856776519E-2</v>
      </c>
      <c r="E21" s="11" t="s">
        <v>110</v>
      </c>
    </row>
    <row r="22" spans="1:5" x14ac:dyDescent="0.35">
      <c r="A22" s="21" t="s">
        <v>111</v>
      </c>
      <c r="B22" s="19">
        <f>ABS(B21/B17)</f>
        <v>1.7781114769153339</v>
      </c>
      <c r="C22" s="19">
        <f>ABS(C21/C17)</f>
        <v>1.0279476359480941</v>
      </c>
      <c r="D22" s="19">
        <f>ABS(D21/D17)</f>
        <v>2.1023746360785114</v>
      </c>
      <c r="E22" s="11" t="s">
        <v>104</v>
      </c>
    </row>
    <row r="25" spans="1:5" x14ac:dyDescent="0.35">
      <c r="A25" s="2" t="s">
        <v>112</v>
      </c>
      <c r="B25" s="2"/>
      <c r="C25" s="2"/>
      <c r="D25" s="2"/>
      <c r="E25" s="2"/>
    </row>
    <row r="26" spans="1:5" x14ac:dyDescent="0.35">
      <c r="A26" s="10" t="s">
        <v>94</v>
      </c>
      <c r="B26" s="10" t="s">
        <v>113</v>
      </c>
      <c r="C26" s="10" t="s">
        <v>67</v>
      </c>
      <c r="D26" s="10" t="s">
        <v>69</v>
      </c>
      <c r="E26" s="10" t="s">
        <v>96</v>
      </c>
    </row>
    <row r="27" spans="1:5" x14ac:dyDescent="0.35">
      <c r="A27" s="21" t="s">
        <v>97</v>
      </c>
      <c r="B27" s="23">
        <f>AVERAGE(AGREGADO!G5:G36)</f>
        <v>3.2487031930829202</v>
      </c>
      <c r="C27" s="23">
        <f>AVERAGE(AGREGADO!H5:H36)</f>
        <v>2.5557351911523658</v>
      </c>
      <c r="D27" s="23">
        <f>AVERAGE(AGREGADO!I5:I36)</f>
        <v>2.4263759326846088</v>
      </c>
      <c r="E27" s="11" t="s">
        <v>114</v>
      </c>
    </row>
    <row r="28" spans="1:5" x14ac:dyDescent="0.35">
      <c r="A28" s="21" t="s">
        <v>99</v>
      </c>
      <c r="B28" s="23">
        <f>MEDIAN(AGREGADO!G5:G36)</f>
        <v>2.2099563926702035</v>
      </c>
      <c r="C28" s="23">
        <f>MEDIAN(AGREGADO!H5:H36)</f>
        <v>2.5250124445413498</v>
      </c>
      <c r="D28" s="23">
        <f>MEDIAN(AGREGADO!I5:I36)</f>
        <v>2.2553396358543201</v>
      </c>
      <c r="E28" s="11" t="s">
        <v>114</v>
      </c>
    </row>
    <row r="29" spans="1:5" x14ac:dyDescent="0.35">
      <c r="A29" s="21" t="s">
        <v>100</v>
      </c>
      <c r="B29" s="23">
        <f>MAX(AGREGADO!G5:G36)</f>
        <v>32.139995395327219</v>
      </c>
      <c r="C29" s="23">
        <f>MAX(AGREGADO!H5:H36)</f>
        <v>8.0027998205212096</v>
      </c>
      <c r="D29" s="23">
        <f>MAX(AGREGADO!I5:I36)</f>
        <v>7.9220488314790201</v>
      </c>
      <c r="E29" s="11" t="s">
        <v>114</v>
      </c>
    </row>
    <row r="30" spans="1:5" x14ac:dyDescent="0.35">
      <c r="A30" s="21" t="s">
        <v>101</v>
      </c>
      <c r="B30" s="23">
        <f>MIN(AGREGADO!G5:G36)</f>
        <v>6.6346597892436104E-2</v>
      </c>
      <c r="C30" s="23">
        <f>MIN(AGREGADO!H5:H36)</f>
        <v>-0.355546266299747</v>
      </c>
      <c r="D30" s="23">
        <f>MIN(AGREGADO!I5:I36)</f>
        <v>0.36804684232536</v>
      </c>
      <c r="E30" s="11" t="s">
        <v>114</v>
      </c>
    </row>
    <row r="31" spans="1:5" x14ac:dyDescent="0.35">
      <c r="A31" s="21" t="s">
        <v>102</v>
      </c>
      <c r="B31" s="23">
        <f>STDEV(AGREGADO!G5:G36)</f>
        <v>5.5332265944105918</v>
      </c>
      <c r="C31" s="23">
        <f>STDEV(AGREGADO!H5:H36)</f>
        <v>1.4497372269831985</v>
      </c>
      <c r="D31" s="23">
        <f>STDEV(AGREGADO!I5:I36)</f>
        <v>1.5018297425219314</v>
      </c>
      <c r="E31" s="11" t="s">
        <v>114</v>
      </c>
    </row>
    <row r="32" spans="1:5" x14ac:dyDescent="0.35">
      <c r="A32" s="21" t="s">
        <v>103</v>
      </c>
      <c r="B32" s="19">
        <f>B31/B27</f>
        <v>1.7032108707843294</v>
      </c>
      <c r="C32" s="19">
        <f>C31/C27</f>
        <v>0.56724860697696955</v>
      </c>
      <c r="D32" s="19">
        <f>D31/D27</f>
        <v>0.61896003924678966</v>
      </c>
      <c r="E32" s="11" t="s">
        <v>104</v>
      </c>
    </row>
    <row r="34" spans="1:5" ht="45" customHeight="1" x14ac:dyDescent="0.35">
      <c r="A34" s="1" t="s">
        <v>115</v>
      </c>
      <c r="B34" s="1"/>
      <c r="C34" s="1"/>
      <c r="D34" s="1"/>
      <c r="E34" s="1"/>
    </row>
    <row r="35" spans="1:5" x14ac:dyDescent="0.35">
      <c r="A35" s="21" t="s">
        <v>116</v>
      </c>
      <c r="B35" s="23">
        <f>AVERAGE(AGREGADO!G11:G36)</f>
        <v>2.0850005135770342</v>
      </c>
      <c r="E35" s="11" t="s">
        <v>114</v>
      </c>
    </row>
  </sheetData>
  <mergeCells count="5">
    <mergeCell ref="A1:E1"/>
    <mergeCell ref="A3:E3"/>
    <mergeCell ref="A15:E15"/>
    <mergeCell ref="A25:E25"/>
    <mergeCell ref="A34:E3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5"/>
  <sheetViews>
    <sheetView tabSelected="1" view="pageLayout" topLeftCell="O1" zoomScaleNormal="100" workbookViewId="0">
      <selection activeCell="W3" sqref="W3"/>
    </sheetView>
  </sheetViews>
  <sheetFormatPr baseColWidth="10" defaultColWidth="8.6328125" defaultRowHeight="14.5" x14ac:dyDescent="0.35"/>
  <sheetData>
    <row r="1" spans="1:22" ht="18.649999999999999" customHeight="1" x14ac:dyDescent="0.35">
      <c r="A1" s="4" t="s">
        <v>117</v>
      </c>
      <c r="B1" s="4"/>
      <c r="C1" s="4"/>
      <c r="D1" s="4"/>
      <c r="E1" s="4"/>
      <c r="F1" s="4"/>
      <c r="G1" s="4"/>
      <c r="H1" s="4"/>
      <c r="I1" s="4"/>
      <c r="J1" s="4"/>
    </row>
    <row r="3" spans="1:22" ht="43.5" x14ac:dyDescent="0.35">
      <c r="L3" s="10" t="s">
        <v>75</v>
      </c>
      <c r="M3" s="10" t="s">
        <v>118</v>
      </c>
      <c r="N3" s="10" t="s">
        <v>119</v>
      </c>
      <c r="P3" s="10" t="s">
        <v>75</v>
      </c>
      <c r="Q3" s="10" t="s">
        <v>120</v>
      </c>
      <c r="R3" s="10" t="s">
        <v>121</v>
      </c>
      <c r="T3" s="10" t="s">
        <v>75</v>
      </c>
      <c r="U3" s="10" t="s">
        <v>122</v>
      </c>
      <c r="V3" s="10" t="s">
        <v>123</v>
      </c>
    </row>
    <row r="4" spans="1:22" x14ac:dyDescent="0.35">
      <c r="L4" s="15">
        <v>1993</v>
      </c>
      <c r="M4" s="20">
        <f>CRECIMIENTO!C5</f>
        <v>0</v>
      </c>
      <c r="N4" s="20">
        <f>CRECIMIENTO!F5</f>
        <v>2.95165696638559E-2</v>
      </c>
      <c r="P4" s="15">
        <v>1993</v>
      </c>
      <c r="Q4" s="20">
        <f>CRECIMIENTO!B5</f>
        <v>0</v>
      </c>
      <c r="R4" s="20">
        <f>CRECIMIENTO!E5</f>
        <v>0.3213999539532722</v>
      </c>
      <c r="T4" s="15">
        <v>1993</v>
      </c>
      <c r="U4" s="20">
        <f>CRECIMIENTO!D5</f>
        <v>0</v>
      </c>
      <c r="V4" s="20">
        <f>CRECIMIENTO!G5</f>
        <v>2.55857796929705E-2</v>
      </c>
    </row>
    <row r="5" spans="1:22" x14ac:dyDescent="0.35">
      <c r="L5" s="15">
        <v>1994</v>
      </c>
      <c r="M5" s="20">
        <f>CRECIMIENTO!C6</f>
        <v>2.761108970287296E-2</v>
      </c>
      <c r="N5" s="20">
        <f>CRECIMIENTO!F6</f>
        <v>2.6074415921545298E-2</v>
      </c>
      <c r="P5" s="15">
        <v>1994</v>
      </c>
      <c r="Q5" s="20">
        <f>CRECIMIENTO!B6</f>
        <v>2.2068150474458204E-2</v>
      </c>
      <c r="R5" s="20">
        <f>CRECIMIENTO!E6</f>
        <v>6.3900979323938109E-2</v>
      </c>
      <c r="T5" s="15">
        <v>1994</v>
      </c>
      <c r="U5" s="20">
        <f>CRECIMIENTO!D6</f>
        <v>4.6865535618183962E-2</v>
      </c>
      <c r="V5" s="20">
        <f>CRECIMIENTO!G6</f>
        <v>2.2190126050420499E-2</v>
      </c>
    </row>
    <row r="6" spans="1:22" x14ac:dyDescent="0.35">
      <c r="L6" s="15">
        <v>1995</v>
      </c>
      <c r="M6" s="20">
        <f>CRECIMIENTO!C7</f>
        <v>1.4689291669983895E-2</v>
      </c>
      <c r="N6" s="20">
        <f>CRECIMIENTO!F7</f>
        <v>2.8054196885366197E-2</v>
      </c>
      <c r="P6" s="15">
        <v>1995</v>
      </c>
      <c r="Q6" s="20">
        <f>CRECIMIENTO!B7</f>
        <v>2.2215532918247183E-2</v>
      </c>
      <c r="R6" s="20">
        <f>CRECIMIENTO!E7</f>
        <v>4.0147461267954182E-2</v>
      </c>
      <c r="T6" s="15">
        <v>1995</v>
      </c>
      <c r="U6" s="20">
        <f>CRECIMIENTO!D7</f>
        <v>3.2598580236913532E-2</v>
      </c>
      <c r="V6" s="20">
        <f>CRECIMIENTO!G7</f>
        <v>2.6974951830443201E-2</v>
      </c>
    </row>
    <row r="7" spans="1:22" x14ac:dyDescent="0.35">
      <c r="L7" s="15">
        <v>1996</v>
      </c>
      <c r="M7" s="20">
        <f>CRECIMIENTO!C8</f>
        <v>2.572463999442709E-2</v>
      </c>
      <c r="N7" s="20">
        <f>CRECIMIENTO!F8</f>
        <v>2.9312041999344198E-2</v>
      </c>
      <c r="P7" s="15">
        <v>1996</v>
      </c>
      <c r="Q7" s="20">
        <f>CRECIMIENTO!B8</f>
        <v>1.5051112522652899E-2</v>
      </c>
      <c r="R7" s="20">
        <f>CRECIMIENTO!E8</f>
        <v>3.2303092333293454E-2</v>
      </c>
      <c r="T7" s="15">
        <v>1996</v>
      </c>
      <c r="U7" s="20">
        <f>CRECIMIENTO!D8</f>
        <v>2.3539637867122876E-2</v>
      </c>
      <c r="V7" s="20">
        <f>CRECIMIENTO!G8</f>
        <v>2.8517823639774901E-2</v>
      </c>
    </row>
    <row r="8" spans="1:22" x14ac:dyDescent="0.35">
      <c r="L8" s="15">
        <v>1997</v>
      </c>
      <c r="M8" s="20">
        <f>CRECIMIENTO!C9</f>
        <v>3.1971656077063093E-2</v>
      </c>
      <c r="N8" s="20">
        <f>CRECIMIENTO!F9</f>
        <v>2.3376899373073502E-2</v>
      </c>
      <c r="P8" s="15">
        <v>1997</v>
      </c>
      <c r="Q8" s="20">
        <f>CRECIMIENTO!B9</f>
        <v>2.5316532875033326E-2</v>
      </c>
      <c r="R8" s="20">
        <f>CRECIMIENTO!E9</f>
        <v>2.2307392327559215E-2</v>
      </c>
      <c r="T8" s="15">
        <v>1997</v>
      </c>
      <c r="U8" s="20">
        <f>CRECIMIENTO!D9</f>
        <v>4.6102109717016004E-2</v>
      </c>
      <c r="V8" s="20">
        <f>CRECIMIENTO!G9</f>
        <v>2.2011431351088202E-2</v>
      </c>
    </row>
    <row r="9" spans="1:22" x14ac:dyDescent="0.35">
      <c r="L9" s="15">
        <v>1998</v>
      </c>
      <c r="M9" s="20">
        <f>CRECIMIENTO!C10</f>
        <v>3.2722298419901374E-2</v>
      </c>
      <c r="N9" s="20">
        <f>CRECIMIENTO!F10</f>
        <v>1.5522790987436398E-2</v>
      </c>
      <c r="P9" s="15">
        <v>1998</v>
      </c>
      <c r="Q9" s="20">
        <f>CRECIMIENTO!B10</f>
        <v>2.7900421221178862E-2</v>
      </c>
      <c r="R9" s="20">
        <f>CRECIMIENTO!E10</f>
        <v>1.7426009050488446E-2</v>
      </c>
      <c r="T9" s="15">
        <v>1998</v>
      </c>
      <c r="U9" s="20">
        <f>CRECIMIENTO!D10</f>
        <v>2.9458867298981062E-2</v>
      </c>
      <c r="V9" s="20">
        <f>CRECIMIENTO!G10</f>
        <v>1.8205616373155698E-2</v>
      </c>
    </row>
    <row r="10" spans="1:22" x14ac:dyDescent="0.35">
      <c r="L10" s="15">
        <v>1999</v>
      </c>
      <c r="M10" s="20">
        <f>CRECIMIENTO!C11</f>
        <v>3.5919803719353993E-2</v>
      </c>
      <c r="N10" s="20">
        <f>CRECIMIENTO!F11</f>
        <v>2.1880271969735802E-2</v>
      </c>
      <c r="P10" s="15">
        <v>1999</v>
      </c>
      <c r="Q10" s="20">
        <f>CRECIMIENTO!B11</f>
        <v>2.7571143704542056E-2</v>
      </c>
      <c r="R10" s="20">
        <f>CRECIMIENTO!E11</f>
        <v>1.4964239008477445E-2</v>
      </c>
      <c r="T10" s="15">
        <v>1999</v>
      </c>
      <c r="U10" s="20">
        <f>CRECIMIENTO!D11</f>
        <v>2.6018073451559598E-2</v>
      </c>
      <c r="V10" s="20">
        <f>CRECIMIENTO!G11</f>
        <v>1.7529508005142001E-2</v>
      </c>
    </row>
    <row r="11" spans="1:22" x14ac:dyDescent="0.35">
      <c r="L11" s="15">
        <v>2000</v>
      </c>
      <c r="M11" s="20">
        <f>CRECIMIENTO!C12</f>
        <v>2.9258625437009966E-2</v>
      </c>
      <c r="N11" s="20">
        <f>CRECIMIENTO!F12</f>
        <v>3.3768572714992902E-2</v>
      </c>
      <c r="P11" s="15">
        <v>2000</v>
      </c>
      <c r="Q11" s="20">
        <f>CRECIMIENTO!B12</f>
        <v>3.5826933254175852E-2</v>
      </c>
      <c r="R11" s="20">
        <f>CRECIMIENTO!E12</f>
        <v>2.4907562623982655E-2</v>
      </c>
      <c r="T11" s="15">
        <v>2000</v>
      </c>
      <c r="U11" s="20">
        <f>CRECIMIENTO!D12</f>
        <v>4.1515806138273437E-2</v>
      </c>
      <c r="V11" s="20">
        <f>CRECIMIENTO!G12</f>
        <v>1.18295624210408E-2</v>
      </c>
    </row>
    <row r="12" spans="1:22" x14ac:dyDescent="0.35">
      <c r="L12" s="15">
        <v>2001</v>
      </c>
      <c r="M12" s="20">
        <f>CRECIMIENTO!C13</f>
        <v>-3.8731923724566464E-4</v>
      </c>
      <c r="N12" s="20">
        <f>CRECIMIENTO!F13</f>
        <v>2.8261711188540702E-2</v>
      </c>
      <c r="P12" s="15">
        <v>2001</v>
      </c>
      <c r="Q12" s="20">
        <f>CRECIMIENTO!B13</f>
        <v>1.8526279427774961E-2</v>
      </c>
      <c r="R12" s="20">
        <f>CRECIMIENTO!E13</f>
        <v>2.728421263222533E-2</v>
      </c>
      <c r="T12" s="15">
        <v>2001</v>
      </c>
      <c r="U12" s="20">
        <f>CRECIMIENTO!D13</f>
        <v>1.997599243202175E-2</v>
      </c>
      <c r="V12" s="20">
        <f>CRECIMIENTO!G13</f>
        <v>1.5323496027241802E-2</v>
      </c>
    </row>
    <row r="13" spans="1:22" x14ac:dyDescent="0.35">
      <c r="L13" s="15">
        <v>2002</v>
      </c>
      <c r="M13" s="20">
        <f>CRECIMIENTO!C14</f>
        <v>7.6123685607516478E-3</v>
      </c>
      <c r="N13" s="20">
        <f>CRECIMIENTO!F14</f>
        <v>1.5860316265060098E-2</v>
      </c>
      <c r="P13" s="15">
        <v>2002</v>
      </c>
      <c r="Q13" s="20">
        <f>CRECIMIENTO!B14</f>
        <v>4.5486932728728835E-3</v>
      </c>
      <c r="R13" s="20">
        <f>CRECIMIENTO!E14</f>
        <v>2.270290001803189E-2</v>
      </c>
      <c r="T13" s="15">
        <v>2002</v>
      </c>
      <c r="U13" s="20">
        <f>CRECIMIENTO!D14</f>
        <v>1.2793654372253549E-2</v>
      </c>
      <c r="V13" s="20">
        <f>CRECIMIENTO!G14</f>
        <v>1.5204024594745499E-2</v>
      </c>
    </row>
    <row r="14" spans="1:22" x14ac:dyDescent="0.35">
      <c r="L14" s="15">
        <v>2003</v>
      </c>
      <c r="M14" s="20">
        <f>CRECIMIENTO!C15</f>
        <v>1.9158824750842074E-2</v>
      </c>
      <c r="N14" s="20">
        <f>CRECIMIENTO!F15</f>
        <v>2.2700949733611503E-2</v>
      </c>
      <c r="P14" s="15">
        <v>2003</v>
      </c>
      <c r="Q14" s="20">
        <f>CRECIMIENTO!B15</f>
        <v>2.0144182740182703E-3</v>
      </c>
      <c r="R14" s="20">
        <f>CRECIMIENTO!E15</f>
        <v>2.1925630180620163E-2</v>
      </c>
      <c r="T14" s="15">
        <v>2003</v>
      </c>
      <c r="U14" s="20">
        <f>CRECIMIENTO!D15</f>
        <v>2.7390055443688999E-2</v>
      </c>
      <c r="V14" s="20">
        <f>CRECIMIENTO!G15</f>
        <v>1.3765003854201301E-2</v>
      </c>
    </row>
    <row r="15" spans="1:22" x14ac:dyDescent="0.35">
      <c r="L15" s="15">
        <v>2004</v>
      </c>
      <c r="M15" s="20">
        <f>CRECIMIENTO!C16</f>
        <v>2.8911109158190618E-2</v>
      </c>
      <c r="N15" s="20">
        <f>CRECIMIENTO!F16</f>
        <v>2.6772366930917203E-2</v>
      </c>
      <c r="P15" s="15">
        <v>2004</v>
      </c>
      <c r="Q15" s="20">
        <f>CRECIMIENTO!B16</f>
        <v>1.7429966322247248E-2</v>
      </c>
      <c r="R15" s="20">
        <f>CRECIMIENTO!E16</f>
        <v>2.2238677444197354E-2</v>
      </c>
      <c r="T15" s="15">
        <v>2004</v>
      </c>
      <c r="U15" s="20">
        <f>CRECIMIENTO!D16</f>
        <v>1.7454946887384803E-2</v>
      </c>
      <c r="V15" s="20">
        <f>CRECIMIENTO!G16</f>
        <v>1.39039756680422E-2</v>
      </c>
    </row>
    <row r="16" spans="1:22" x14ac:dyDescent="0.35">
      <c r="L16" s="15">
        <v>2005</v>
      </c>
      <c r="M16" s="20">
        <f>CRECIMIENTO!C17</f>
        <v>2.5341107048216127E-2</v>
      </c>
      <c r="N16" s="20">
        <f>CRECIMIENTO!F17</f>
        <v>3.3927468454955E-2</v>
      </c>
      <c r="P16" s="15">
        <v>2005</v>
      </c>
      <c r="Q16" s="20">
        <f>CRECIMIENTO!B17</f>
        <v>1.2378179603768746E-2</v>
      </c>
      <c r="R16" s="20">
        <f>CRECIMIENTO!E17</f>
        <v>2.1579035075779279E-2</v>
      </c>
      <c r="T16" s="15">
        <v>2005</v>
      </c>
      <c r="U16" s="20">
        <f>CRECIMIENTO!D17</f>
        <v>2.0872998807228704E-2</v>
      </c>
      <c r="V16" s="20">
        <f>CRECIMIENTO!G17</f>
        <v>2.0891364902506999E-2</v>
      </c>
    </row>
    <row r="17" spans="12:22" x14ac:dyDescent="0.35">
      <c r="L17" s="15">
        <v>2006</v>
      </c>
      <c r="M17" s="20">
        <f>CRECIMIENTO!C18</f>
        <v>1.7981987445631953E-2</v>
      </c>
      <c r="N17" s="20">
        <f>CRECIMIENTO!F18</f>
        <v>3.2259441007040396E-2</v>
      </c>
      <c r="P17" s="15">
        <v>2006</v>
      </c>
      <c r="Q17" s="20">
        <f>CRECIMIENTO!B18</f>
        <v>2.8325695149329144E-2</v>
      </c>
      <c r="R17" s="20">
        <f>CRECIMIENTO!E18</f>
        <v>2.1960450409206717E-2</v>
      </c>
      <c r="T17" s="15">
        <v>2006</v>
      </c>
      <c r="U17" s="20">
        <f>CRECIMIENTO!D18</f>
        <v>1.4414302818719138E-2</v>
      </c>
      <c r="V17" s="20">
        <f>CRECIMIENTO!G18</f>
        <v>2.4556616643929101E-2</v>
      </c>
    </row>
    <row r="18" spans="12:22" x14ac:dyDescent="0.35">
      <c r="L18" s="15">
        <v>2007</v>
      </c>
      <c r="M18" s="20">
        <f>CRECIMIENTO!C19</f>
        <v>1.0383438213052765E-2</v>
      </c>
      <c r="N18" s="20">
        <f>CRECIMIENTO!F19</f>
        <v>2.8526724815013803E-2</v>
      </c>
      <c r="P18" s="15">
        <v>2007</v>
      </c>
      <c r="Q18" s="20">
        <f>CRECIMIENTO!B19</f>
        <v>2.4666867504383738E-2</v>
      </c>
      <c r="R18" s="20">
        <f>CRECIMIENTO!E19</f>
        <v>2.2613830673274958E-2</v>
      </c>
      <c r="T18" s="15">
        <v>2007</v>
      </c>
      <c r="U18" s="20">
        <f>CRECIMIENTO!D19</f>
        <v>2.1325355846651073E-2</v>
      </c>
      <c r="V18" s="20">
        <f>CRECIMIENTO!G19</f>
        <v>2.3865615077332699E-2</v>
      </c>
    </row>
    <row r="19" spans="12:22" x14ac:dyDescent="0.35">
      <c r="L19" s="15">
        <v>2008</v>
      </c>
      <c r="M19" s="20">
        <f>CRECIMIENTO!C20</f>
        <v>-8.2888811946477681E-3</v>
      </c>
      <c r="N19" s="20">
        <f>CRECIMIENTO!F20</f>
        <v>3.8391002966509997E-2</v>
      </c>
      <c r="P19" s="15">
        <v>2008</v>
      </c>
      <c r="Q19" s="20">
        <f>CRECIMIENTO!B20</f>
        <v>-9.2504121874836809E-4</v>
      </c>
      <c r="R19" s="20">
        <f>CRECIMIENTO!E20</f>
        <v>3.4338249553473768E-2</v>
      </c>
      <c r="T19" s="15">
        <v>2008</v>
      </c>
      <c r="U19" s="20">
        <f>CRECIMIENTO!D20</f>
        <v>-8.3296794276080943E-3</v>
      </c>
      <c r="V19" s="20">
        <f>CRECIMIENTO!G20</f>
        <v>3.5214085634253899E-2</v>
      </c>
    </row>
    <row r="20" spans="12:22" x14ac:dyDescent="0.35">
      <c r="L20" s="15">
        <v>2009</v>
      </c>
      <c r="M20" s="20">
        <f>CRECIMIENTO!C21</f>
        <v>-3.4268319378947365E-2</v>
      </c>
      <c r="N20" s="20">
        <f>CRECIMIENTO!F21</f>
        <v>-3.55546266299747E-3</v>
      </c>
      <c r="P20" s="15">
        <v>2009</v>
      </c>
      <c r="Q20" s="20">
        <f>CRECIMIENTO!B21</f>
        <v>-4.8092074253049399E-2</v>
      </c>
      <c r="R20" s="20">
        <f>CRECIMIENTO!E21</f>
        <v>3.3941485681173765E-3</v>
      </c>
      <c r="T20" s="15">
        <v>2009</v>
      </c>
      <c r="U20" s="20">
        <f>CRECIMIENTO!D21</f>
        <v>-5.3063777776379495E-2</v>
      </c>
      <c r="V20" s="20">
        <f>CRECIMIENTO!G21</f>
        <v>1.96173173560109E-2</v>
      </c>
    </row>
    <row r="21" spans="12:22" x14ac:dyDescent="0.35">
      <c r="L21" s="15">
        <v>2010</v>
      </c>
      <c r="M21" s="20">
        <f>CRECIMIENTO!C22</f>
        <v>1.8299236937965979E-2</v>
      </c>
      <c r="N21" s="20">
        <f>CRECIMIENTO!F22</f>
        <v>1.6400434423899001E-2</v>
      </c>
      <c r="P21" s="15">
        <v>2010</v>
      </c>
      <c r="Q21" s="20">
        <f>CRECIMIENTO!B22</f>
        <v>1.8577909290588446E-2</v>
      </c>
      <c r="R21" s="20">
        <f>CRECIMIENTO!E22</f>
        <v>1.5185468953835659E-2</v>
      </c>
      <c r="T21" s="15">
        <v>2010</v>
      </c>
      <c r="U21" s="20">
        <f>CRECIMIENTO!D22</f>
        <v>1.4620694768097797E-2</v>
      </c>
      <c r="V21" s="20">
        <f>CRECIMIENTO!G22</f>
        <v>2.49265472467066E-2</v>
      </c>
    </row>
    <row r="22" spans="12:22" x14ac:dyDescent="0.35">
      <c r="L22" s="15">
        <v>2011</v>
      </c>
      <c r="M22" s="20">
        <f>CRECIMIENTO!C23</f>
        <v>7.6279640542922245E-3</v>
      </c>
      <c r="N22" s="20">
        <f>CRECIMIENTO!F23</f>
        <v>3.156841568622E-2</v>
      </c>
      <c r="P22" s="15">
        <v>2011</v>
      </c>
      <c r="Q22" s="20">
        <f>CRECIMIENTO!B23</f>
        <v>1.9668945136105398E-2</v>
      </c>
      <c r="R22" s="20">
        <f>CRECIMIENTO!E23</f>
        <v>2.6484193737392872E-2</v>
      </c>
      <c r="T22" s="15">
        <v>2011</v>
      </c>
      <c r="U22" s="20">
        <f>CRECIMIENTO!D23</f>
        <v>6.634889119989662E-4</v>
      </c>
      <c r="V22" s="20">
        <f>CRECIMIENTO!G23</f>
        <v>3.8561124468281999E-2</v>
      </c>
    </row>
    <row r="23" spans="12:22" x14ac:dyDescent="0.35">
      <c r="L23" s="15">
        <v>2012</v>
      </c>
      <c r="M23" s="20">
        <f>CRECIMIENTO!C24</f>
        <v>1.4757059689730401E-2</v>
      </c>
      <c r="N23" s="20">
        <f>CRECIMIENTO!F24</f>
        <v>2.0693372652606699E-2</v>
      </c>
      <c r="P23" s="15">
        <v>2012</v>
      </c>
      <c r="Q23" s="20">
        <f>CRECIMIENTO!B24</f>
        <v>-1.1323458513307183E-2</v>
      </c>
      <c r="R23" s="20">
        <f>CRECIMIENTO!E24</f>
        <v>2.3843611571251758E-2</v>
      </c>
      <c r="T23" s="15">
        <v>2012</v>
      </c>
      <c r="U23" s="20">
        <f>CRECIMIENTO!D24</f>
        <v>8.0766164296965925E-3</v>
      </c>
      <c r="V23" s="20">
        <f>CRECIMIENTO!G24</f>
        <v>2.5732347965453001E-2</v>
      </c>
    </row>
    <row r="24" spans="12:22" x14ac:dyDescent="0.35">
      <c r="L24" s="15">
        <v>2013</v>
      </c>
      <c r="M24" s="20">
        <f>CRECIMIENTO!C25</f>
        <v>1.3481625273179532E-2</v>
      </c>
      <c r="N24" s="20">
        <f>CRECIMIENTO!F25</f>
        <v>1.46483265562717E-2</v>
      </c>
      <c r="P24" s="15">
        <v>2013</v>
      </c>
      <c r="Q24" s="20">
        <f>CRECIMIENTO!B25</f>
        <v>-3.1864075080583198E-3</v>
      </c>
      <c r="R24" s="20">
        <f>CRECIMIENTO!E25</f>
        <v>1.232556810478209E-2</v>
      </c>
      <c r="T24" s="15">
        <v>2013</v>
      </c>
      <c r="U24" s="20">
        <f>CRECIMIENTO!D25</f>
        <v>1.0397015469407522E-2</v>
      </c>
      <c r="V24" s="20">
        <f>CRECIMIENTO!G25</f>
        <v>2.2916666666665902E-2</v>
      </c>
    </row>
    <row r="25" spans="12:22" x14ac:dyDescent="0.35">
      <c r="L25" s="15">
        <v>2014</v>
      </c>
      <c r="M25" s="20">
        <f>CRECIMIENTO!C26</f>
        <v>1.7109454385731526E-2</v>
      </c>
      <c r="N25" s="20">
        <f>CRECIMIENTO!F26</f>
        <v>1.6222229774081699E-2</v>
      </c>
      <c r="P25" s="15">
        <v>2014</v>
      </c>
      <c r="Q25" s="20">
        <f>CRECIMIENTO!B26</f>
        <v>1.2871387509083565E-2</v>
      </c>
      <c r="R25" s="20">
        <f>CRECIMIENTO!E26</f>
        <v>4.031264033847984E-3</v>
      </c>
      <c r="T25" s="15">
        <v>2014</v>
      </c>
      <c r="U25" s="20">
        <f>CRECIMIENTO!D26</f>
        <v>2.392299118819996E-2</v>
      </c>
      <c r="V25" s="20">
        <f>CRECIMIENTO!G26</f>
        <v>1.4511201629327898E-2</v>
      </c>
    </row>
    <row r="26" spans="12:22" x14ac:dyDescent="0.35">
      <c r="L26" s="15">
        <v>2015</v>
      </c>
      <c r="M26" s="20">
        <f>CRECIMIENTO!C27</f>
        <v>2.1274113812361328E-2</v>
      </c>
      <c r="N26" s="20">
        <f>CRECIMIENTO!F27</f>
        <v>1.18627135552451E-3</v>
      </c>
      <c r="P26" s="15">
        <v>2015</v>
      </c>
      <c r="Q26" s="20">
        <f>CRECIMIENTO!B27</f>
        <v>1.8647489256516492E-2</v>
      </c>
      <c r="R26" s="20">
        <f>CRECIMIENTO!E27</f>
        <v>6.6346597892436108E-4</v>
      </c>
      <c r="T26" s="15">
        <v>2015</v>
      </c>
      <c r="U26" s="20">
        <f>CRECIMIENTO!D27</f>
        <v>1.4059889671456105E-2</v>
      </c>
      <c r="V26" s="20">
        <f>CRECIMIENTO!G27</f>
        <v>3.6804684232535998E-3</v>
      </c>
    </row>
    <row r="27" spans="12:22" x14ac:dyDescent="0.35">
      <c r="L27" s="15">
        <v>2016</v>
      </c>
      <c r="M27" s="20">
        <f>CRECIMIENTO!C28</f>
        <v>1.022665891179475E-2</v>
      </c>
      <c r="N27" s="20">
        <f>CRECIMIENTO!F28</f>
        <v>1.26158320570536E-2</v>
      </c>
      <c r="P27" s="15">
        <v>2016</v>
      </c>
      <c r="Q27" s="20">
        <f>CRECIMIENTO!B28</f>
        <v>1.5233877327736511E-2</v>
      </c>
      <c r="R27" s="20">
        <f>CRECIMIENTO!E28</f>
        <v>1.9601948343040774E-3</v>
      </c>
      <c r="T27" s="15">
        <v>2016</v>
      </c>
      <c r="U27" s="20">
        <f>CRECIMIENTO!D28</f>
        <v>1.3979908727900225E-2</v>
      </c>
      <c r="V27" s="20">
        <f>CRECIMIENTO!G28</f>
        <v>1.0084173681141E-2</v>
      </c>
    </row>
    <row r="28" spans="12:22" x14ac:dyDescent="0.35">
      <c r="L28" s="15">
        <v>2017</v>
      </c>
      <c r="M28" s="20">
        <f>CRECIMIENTO!C29</f>
        <v>1.7501409492395537E-2</v>
      </c>
      <c r="N28" s="20">
        <f>CRECIMIENTO!F29</f>
        <v>2.1301100036596101E-2</v>
      </c>
      <c r="P28" s="15">
        <v>2017</v>
      </c>
      <c r="Q28" s="20">
        <f>CRECIMIENTO!B29</f>
        <v>2.4237574577230969E-2</v>
      </c>
      <c r="R28" s="20">
        <f>CRECIMIENTO!E29</f>
        <v>1.4351853708106049E-2</v>
      </c>
      <c r="T28" s="15">
        <v>2017</v>
      </c>
      <c r="U28" s="20">
        <f>CRECIMIENTO!D29</f>
        <v>2.4625494765584399E-2</v>
      </c>
      <c r="V28" s="20">
        <f>CRECIMIENTO!G29</f>
        <v>2.5577557755774701E-2</v>
      </c>
    </row>
    <row r="29" spans="12:22" x14ac:dyDescent="0.35">
      <c r="L29" s="15">
        <v>2018</v>
      </c>
      <c r="M29" s="20">
        <f>CRECIMIENTO!C30</f>
        <v>2.3644424994399005E-2</v>
      </c>
      <c r="N29" s="20">
        <f>CRECIMIENTO!F30</f>
        <v>2.4425832969281702E-2</v>
      </c>
      <c r="P29" s="15">
        <v>2018</v>
      </c>
      <c r="Q29" s="20">
        <f>CRECIMIENTO!B30</f>
        <v>1.4711211091016141E-2</v>
      </c>
      <c r="R29" s="20">
        <f>CRECIMIENTO!E30</f>
        <v>1.6020059898263703E-2</v>
      </c>
      <c r="T29" s="15">
        <v>2018</v>
      </c>
      <c r="U29" s="20">
        <f>CRECIMIENTO!D30</f>
        <v>1.0565116007130504E-2</v>
      </c>
      <c r="V29" s="20">
        <f>CRECIMIENTO!G30</f>
        <v>2.2928399034593802E-2</v>
      </c>
    </row>
    <row r="30" spans="12:22" x14ac:dyDescent="0.35">
      <c r="L30" s="15">
        <v>2019</v>
      </c>
      <c r="M30" s="20">
        <f>CRECIMIENTO!C31</f>
        <v>2.0567659032818764E-2</v>
      </c>
      <c r="N30" s="20">
        <f>CRECIMIENTO!F31</f>
        <v>1.8122100752602101E-2</v>
      </c>
      <c r="P30" s="15">
        <v>2019</v>
      </c>
      <c r="Q30" s="20">
        <f>CRECIMIENTO!B31</f>
        <v>1.438254806734518E-2</v>
      </c>
      <c r="R30" s="20">
        <f>CRECIMIENTO!E31</f>
        <v>1.1402565897313812E-2</v>
      </c>
      <c r="T30" s="15">
        <v>2019</v>
      </c>
      <c r="U30" s="20">
        <f>CRECIMIENTO!D31</f>
        <v>7.3657613201751904E-3</v>
      </c>
      <c r="V30" s="20">
        <f>CRECIMIENTO!G31</f>
        <v>1.7381046008651299E-2</v>
      </c>
    </row>
    <row r="31" spans="12:22" x14ac:dyDescent="0.35">
      <c r="L31" s="15">
        <v>2020</v>
      </c>
      <c r="M31" s="20">
        <f>CRECIMIENTO!C32</f>
        <v>-2.5618073853474588E-2</v>
      </c>
      <c r="N31" s="20">
        <f>CRECIMIENTO!F32</f>
        <v>1.2335843963062899E-2</v>
      </c>
      <c r="P31" s="15">
        <v>2020</v>
      </c>
      <c r="Q31" s="20">
        <f>CRECIMIENTO!B32</f>
        <v>-6.1885024475690775E-2</v>
      </c>
      <c r="R31" s="20">
        <f>CRECIMIENTO!E32</f>
        <v>1.8714692395596338E-3</v>
      </c>
      <c r="T31" s="15">
        <v>2020</v>
      </c>
      <c r="U31" s="20">
        <f>CRECIMIENTO!D32</f>
        <v>-0.10200188793660436</v>
      </c>
      <c r="V31" s="20">
        <f>CRECIMIENTO!G32</f>
        <v>9.8948670377249099E-3</v>
      </c>
    </row>
    <row r="32" spans="12:22" x14ac:dyDescent="0.35">
      <c r="L32" s="15">
        <v>2021</v>
      </c>
      <c r="M32" s="20">
        <f>CRECIMIENTO!C33</f>
        <v>5.8883410389083402E-2</v>
      </c>
      <c r="N32" s="20">
        <f>CRECIMIENTO!F33</f>
        <v>4.6978588636374205E-2</v>
      </c>
      <c r="P32" s="15">
        <v>2021</v>
      </c>
      <c r="Q32" s="20">
        <f>CRECIMIENTO!B33</f>
        <v>6.3697254006872983E-2</v>
      </c>
      <c r="R32" s="20">
        <f>CRECIMIENTO!E33</f>
        <v>2.4091377841179189E-2</v>
      </c>
      <c r="T32" s="15">
        <v>2021</v>
      </c>
      <c r="U32" s="20">
        <f>CRECIMIENTO!D33</f>
        <v>8.1542078258153072E-2</v>
      </c>
      <c r="V32" s="20">
        <f>CRECIMIENTO!G33</f>
        <v>2.5183710961421298E-2</v>
      </c>
    </row>
    <row r="33" spans="12:22" x14ac:dyDescent="0.35">
      <c r="L33" s="15">
        <v>2022</v>
      </c>
      <c r="M33" s="20">
        <f>CRECIMIENTO!C34</f>
        <v>1.9238617291810423E-2</v>
      </c>
      <c r="N33" s="20">
        <f>CRECIMIENTO!F34</f>
        <v>8.00279982052121E-2</v>
      </c>
      <c r="P33" s="15">
        <v>2022</v>
      </c>
      <c r="Q33" s="20">
        <f>CRECIMIENTO!B34</f>
        <v>3.3623141134019763E-2</v>
      </c>
      <c r="R33" s="20">
        <f>CRECIMIENTO!E34</f>
        <v>7.7665475077708782E-2</v>
      </c>
      <c r="T33" s="15">
        <v>2022</v>
      </c>
      <c r="U33" s="20">
        <f>CRECIMIENTO!D34</f>
        <v>4.1853701711176639E-2</v>
      </c>
      <c r="V33" s="20">
        <f>CRECIMIENTO!G34</f>
        <v>7.9220488314790199E-2</v>
      </c>
    </row>
    <row r="34" spans="12:22" x14ac:dyDescent="0.35">
      <c r="L34" s="15">
        <v>2023</v>
      </c>
      <c r="M34" s="20">
        <f>CRECIMIENTO!C35</f>
        <v>2.0355998754099325E-2</v>
      </c>
      <c r="N34" s="20">
        <f>CRECIMIENTO!F35</f>
        <v>4.1163383837448803E-2</v>
      </c>
      <c r="P34" s="15">
        <v>2023</v>
      </c>
      <c r="Q34" s="20">
        <f>CRECIMIENTO!B35</f>
        <v>2.2692290107229063E-4</v>
      </c>
      <c r="R34" s="20">
        <f>CRECIMIENTO!E35</f>
        <v>5.2573589909376592E-2</v>
      </c>
      <c r="T34" s="15">
        <v>2023</v>
      </c>
      <c r="U34" s="20">
        <f>CRECIMIENTO!D35</f>
        <v>-1.0283736805902222E-2</v>
      </c>
      <c r="V34" s="20">
        <f>CRECIMIENTO!G35</f>
        <v>6.7939670679396297E-2</v>
      </c>
    </row>
    <row r="35" spans="12:22" x14ac:dyDescent="0.35">
      <c r="L35" s="15">
        <v>2024</v>
      </c>
      <c r="M35" s="20">
        <f>CRECIMIENTO!C36</f>
        <v>1.7941923515304659E-2</v>
      </c>
      <c r="N35" s="20">
        <f>CRECIMIENTO!F36</f>
        <v>2.9495252048520701E-2</v>
      </c>
      <c r="P35" s="15">
        <v>2024</v>
      </c>
      <c r="Q35" s="20">
        <f>CRECIMIENTO!B36</f>
        <v>5.0878295674767759E-3</v>
      </c>
      <c r="R35" s="20">
        <f>CRECIMIENTO!E36</f>
        <v>2.1721038556795365E-2</v>
      </c>
      <c r="T35" s="15">
        <v>2024</v>
      </c>
      <c r="U35" s="20">
        <f>CRECIMIENTO!D36</f>
        <v>5.4183999489998413E-4</v>
      </c>
      <c r="V35" s="20">
        <f>CRECIMIENTO!G36</f>
        <v>3.2715729463591997E-2</v>
      </c>
    </row>
  </sheetData>
  <mergeCells count="1">
    <mergeCell ref="A1:J1"/>
  </mergeCells>
  <pageMargins left="0.75" right="0.75" top="1" bottom="1" header="0.511811023622047" footer="0.511811023622047"/>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PORTADA</vt:lpstr>
      <vt:lpstr>DATOS_PIBPC</vt:lpstr>
      <vt:lpstr>DATOS_PIB</vt:lpstr>
      <vt:lpstr>DATOS_POB</vt:lpstr>
      <vt:lpstr>DATOS_INF</vt:lpstr>
      <vt:lpstr>AGREGADO</vt:lpstr>
      <vt:lpstr>CRECIMIENTO</vt:lpstr>
      <vt:lpstr>ESTADISTICOS</vt:lpstr>
      <vt:lpstr>GRAFICOS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Aritz Fernandez Aulestiarte</cp:lastModifiedBy>
  <cp:revision>1</cp:revision>
  <dcterms:created xsi:type="dcterms:W3CDTF">2026-05-11T10:49:14Z</dcterms:created>
  <dcterms:modified xsi:type="dcterms:W3CDTF">2026-05-11T11:33:14Z</dcterms:modified>
  <dc:language>en-US</dc:language>
</cp:coreProperties>
</file>
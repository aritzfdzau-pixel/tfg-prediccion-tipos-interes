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94800153f987622d/Escritorio/PERSONAL/Investigacion/Trabajo de Fin De Grado - Aritz Fernandez Aulestiarte/Analisis Macroeconomico/Variables/PIB/"/>
    </mc:Choice>
  </mc:AlternateContent>
  <xr:revisionPtr revIDLastSave="0" documentId="8_{505A88B9-FBAC-4B71-AC54-06FC98AFA33F}" xr6:coauthVersionLast="47" xr6:coauthVersionMax="47" xr10:uidLastSave="{00000000-0000-0000-0000-000000000000}"/>
  <bookViews>
    <workbookView xWindow="-110" yWindow="-110" windowWidth="19420" windowHeight="10300" tabRatio="500" firstSheet="5" activeTab="8" xr2:uid="{00000000-000D-0000-FFFF-FFFF00000000}"/>
  </bookViews>
  <sheets>
    <sheet name="Resumen" sheetId="1" r:id="rId1"/>
    <sheet name="Datos_Origen_USD" sheetId="2" r:id="rId2"/>
    <sheet name="Datos_EUR_Paises" sheetId="3" r:id="rId3"/>
    <sheet name="Bloques_EUR" sheetId="4" r:id="rId4"/>
    <sheet name="Crecimiento_Paises" sheetId="5" r:id="rId5"/>
    <sheet name="Crecimiento_Bloques" sheetId="6" r:id="rId6"/>
    <sheet name="Estadisticos" sheetId="7" r:id="rId7"/>
    <sheet name="Volatilidad" sheetId="8" r:id="rId8"/>
    <sheet name="Grafica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26" i="5" l="1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AH26" i="3"/>
  <c r="AG26" i="3"/>
  <c r="AF26" i="5" s="1"/>
  <c r="AF26" i="3"/>
  <c r="AE26" i="5" s="1"/>
  <c r="AE26" i="3"/>
  <c r="AD26" i="5" s="1"/>
  <c r="AD26" i="3"/>
  <c r="AC26" i="5" s="1"/>
  <c r="AC26" i="3"/>
  <c r="AB26" i="5" s="1"/>
  <c r="AB26" i="3"/>
  <c r="AA26" i="5" s="1"/>
  <c r="AA26" i="3"/>
  <c r="Z26" i="5" s="1"/>
  <c r="Z26" i="3"/>
  <c r="Y26" i="5" s="1"/>
  <c r="Y26" i="3"/>
  <c r="X26" i="5" s="1"/>
  <c r="X26" i="3"/>
  <c r="W26" i="5" s="1"/>
  <c r="W26" i="3"/>
  <c r="V26" i="3"/>
  <c r="U26" i="5" s="1"/>
  <c r="U26" i="3"/>
  <c r="T26" i="5" s="1"/>
  <c r="T26" i="3"/>
  <c r="S26" i="5" s="1"/>
  <c r="S26" i="3"/>
  <c r="R26" i="5" s="1"/>
  <c r="R26" i="3"/>
  <c r="Q26" i="5" s="1"/>
  <c r="Q26" i="3"/>
  <c r="P26" i="5" s="1"/>
  <c r="P26" i="3"/>
  <c r="O26" i="5" s="1"/>
  <c r="O26" i="3"/>
  <c r="N26" i="5" s="1"/>
  <c r="N26" i="3"/>
  <c r="M26" i="5" s="1"/>
  <c r="M26" i="3"/>
  <c r="L26" i="5" s="1"/>
  <c r="L26" i="3"/>
  <c r="K26" i="5" s="1"/>
  <c r="K26" i="3"/>
  <c r="J26" i="5" s="1"/>
  <c r="J26" i="3"/>
  <c r="I26" i="5" s="1"/>
  <c r="I26" i="3"/>
  <c r="H26" i="5" s="1"/>
  <c r="H26" i="3"/>
  <c r="G26" i="5" s="1"/>
  <c r="G26" i="3"/>
  <c r="F26" i="5" s="1"/>
  <c r="F26" i="3"/>
  <c r="E26" i="5" s="1"/>
  <c r="E26" i="3"/>
  <c r="D26" i="5" s="1"/>
  <c r="D26" i="3"/>
  <c r="C26" i="5" s="1"/>
  <c r="C26" i="3"/>
  <c r="AH25" i="3"/>
  <c r="AG25" i="3"/>
  <c r="AF25" i="5" s="1"/>
  <c r="AF25" i="3"/>
  <c r="AE25" i="5" s="1"/>
  <c r="AE25" i="3"/>
  <c r="AD25" i="5" s="1"/>
  <c r="AD25" i="3"/>
  <c r="AC25" i="5" s="1"/>
  <c r="AC25" i="3"/>
  <c r="AB25" i="5" s="1"/>
  <c r="AB25" i="3"/>
  <c r="AA25" i="5" s="1"/>
  <c r="AA25" i="3"/>
  <c r="Z25" i="5" s="1"/>
  <c r="Z25" i="3"/>
  <c r="Y25" i="5" s="1"/>
  <c r="Y25" i="3"/>
  <c r="X25" i="5" s="1"/>
  <c r="X25" i="3"/>
  <c r="W25" i="5" s="1"/>
  <c r="W25" i="3"/>
  <c r="V25" i="5" s="1"/>
  <c r="V25" i="3"/>
  <c r="U25" i="5" s="1"/>
  <c r="U25" i="3"/>
  <c r="T25" i="5" s="1"/>
  <c r="T25" i="3"/>
  <c r="S25" i="5" s="1"/>
  <c r="S25" i="3"/>
  <c r="R25" i="5" s="1"/>
  <c r="R25" i="3"/>
  <c r="Q25" i="5" s="1"/>
  <c r="Q25" i="3"/>
  <c r="P25" i="5" s="1"/>
  <c r="P25" i="3"/>
  <c r="O25" i="5" s="1"/>
  <c r="O25" i="3"/>
  <c r="N25" i="5" s="1"/>
  <c r="N25" i="3"/>
  <c r="M25" i="3"/>
  <c r="L25" i="3"/>
  <c r="K25" i="3"/>
  <c r="J25" i="3"/>
  <c r="I25" i="3"/>
  <c r="H25" i="3"/>
  <c r="G25" i="3"/>
  <c r="F25" i="3"/>
  <c r="E25" i="3"/>
  <c r="D25" i="3"/>
  <c r="C25" i="3"/>
  <c r="B6" i="4" s="1"/>
  <c r="AH24" i="3"/>
  <c r="AG24" i="3"/>
  <c r="AF24" i="5" s="1"/>
  <c r="AF24" i="3"/>
  <c r="AE24" i="5" s="1"/>
  <c r="AE24" i="3"/>
  <c r="AD24" i="5" s="1"/>
  <c r="AD24" i="3"/>
  <c r="AC24" i="5" s="1"/>
  <c r="AC24" i="3"/>
  <c r="AB24" i="5" s="1"/>
  <c r="AB24" i="3"/>
  <c r="AA24" i="5" s="1"/>
  <c r="AA24" i="3"/>
  <c r="Z24" i="5" s="1"/>
  <c r="Z24" i="3"/>
  <c r="Y24" i="5" s="1"/>
  <c r="Y24" i="3"/>
  <c r="X24" i="5" s="1"/>
  <c r="X24" i="3"/>
  <c r="W24" i="5" s="1"/>
  <c r="W24" i="3"/>
  <c r="V24" i="5" s="1"/>
  <c r="V24" i="3"/>
  <c r="U24" i="5" s="1"/>
  <c r="U24" i="3"/>
  <c r="T24" i="5" s="1"/>
  <c r="T24" i="3"/>
  <c r="S24" i="5" s="1"/>
  <c r="S24" i="3"/>
  <c r="R24" i="5" s="1"/>
  <c r="R24" i="3"/>
  <c r="Q24" i="5" s="1"/>
  <c r="Q24" i="3"/>
  <c r="P24" i="5" s="1"/>
  <c r="P24" i="3"/>
  <c r="O24" i="5" s="1"/>
  <c r="O24" i="3"/>
  <c r="N24" i="5" s="1"/>
  <c r="N24" i="3"/>
  <c r="M24" i="5" s="1"/>
  <c r="M24" i="3"/>
  <c r="L24" i="5" s="1"/>
  <c r="L24" i="3"/>
  <c r="K24" i="5" s="1"/>
  <c r="K24" i="3"/>
  <c r="J24" i="5" s="1"/>
  <c r="J24" i="3"/>
  <c r="I24" i="5" s="1"/>
  <c r="I24" i="3"/>
  <c r="H24" i="5" s="1"/>
  <c r="H24" i="3"/>
  <c r="G24" i="5" s="1"/>
  <c r="G24" i="3"/>
  <c r="F24" i="5" s="1"/>
  <c r="F24" i="3"/>
  <c r="E24" i="5" s="1"/>
  <c r="E24" i="3"/>
  <c r="D24" i="5" s="1"/>
  <c r="D24" i="3"/>
  <c r="C24" i="5" s="1"/>
  <c r="C24" i="3"/>
  <c r="AH23" i="3"/>
  <c r="AG23" i="3"/>
  <c r="AF23" i="5" s="1"/>
  <c r="AF23" i="3"/>
  <c r="AE23" i="5" s="1"/>
  <c r="AE23" i="3"/>
  <c r="AD23" i="5" s="1"/>
  <c r="AD23" i="3"/>
  <c r="AC23" i="5" s="1"/>
  <c r="AC23" i="3"/>
  <c r="AB23" i="5" s="1"/>
  <c r="AB23" i="3"/>
  <c r="AA23" i="5" s="1"/>
  <c r="AA23" i="3"/>
  <c r="Z23" i="5" s="1"/>
  <c r="Z23" i="3"/>
  <c r="Y23" i="5" s="1"/>
  <c r="Y23" i="3"/>
  <c r="X23" i="5" s="1"/>
  <c r="X23" i="3"/>
  <c r="W23" i="5" s="1"/>
  <c r="W23" i="3"/>
  <c r="V23" i="5" s="1"/>
  <c r="V23" i="3"/>
  <c r="U23" i="5" s="1"/>
  <c r="U23" i="3"/>
  <c r="T23" i="5" s="1"/>
  <c r="T23" i="3"/>
  <c r="S23" i="5" s="1"/>
  <c r="S23" i="3"/>
  <c r="R23" i="5" s="1"/>
  <c r="R23" i="3"/>
  <c r="Q23" i="5" s="1"/>
  <c r="Q23" i="3"/>
  <c r="P23" i="5" s="1"/>
  <c r="P23" i="3"/>
  <c r="O23" i="5" s="1"/>
  <c r="O23" i="3"/>
  <c r="N23" i="5" s="1"/>
  <c r="N23" i="3"/>
  <c r="M23" i="5" s="1"/>
  <c r="M23" i="3"/>
  <c r="L23" i="5" s="1"/>
  <c r="L23" i="3"/>
  <c r="K23" i="5" s="1"/>
  <c r="K23" i="3"/>
  <c r="J23" i="5" s="1"/>
  <c r="J23" i="3"/>
  <c r="I23" i="5" s="1"/>
  <c r="I23" i="3"/>
  <c r="H23" i="5" s="1"/>
  <c r="H23" i="3"/>
  <c r="G23" i="5" s="1"/>
  <c r="G23" i="3"/>
  <c r="F23" i="5" s="1"/>
  <c r="F23" i="3"/>
  <c r="E23" i="5" s="1"/>
  <c r="E23" i="3"/>
  <c r="D23" i="5" s="1"/>
  <c r="D23" i="3"/>
  <c r="C23" i="5" s="1"/>
  <c r="C23" i="3"/>
  <c r="AH22" i="3"/>
  <c r="AG22" i="3"/>
  <c r="AF22" i="5" s="1"/>
  <c r="AF22" i="3"/>
  <c r="AE22" i="5" s="1"/>
  <c r="AE22" i="3"/>
  <c r="AD22" i="5" s="1"/>
  <c r="AD22" i="3"/>
  <c r="AC22" i="5" s="1"/>
  <c r="AC22" i="3"/>
  <c r="AB22" i="5" s="1"/>
  <c r="AB22" i="3"/>
  <c r="AA22" i="5" s="1"/>
  <c r="AA22" i="3"/>
  <c r="Z22" i="5" s="1"/>
  <c r="Z22" i="3"/>
  <c r="Y22" i="5" s="1"/>
  <c r="Y22" i="3"/>
  <c r="X22" i="5" s="1"/>
  <c r="X22" i="3"/>
  <c r="W22" i="5" s="1"/>
  <c r="W22" i="3"/>
  <c r="V22" i="5" s="1"/>
  <c r="V22" i="3"/>
  <c r="U22" i="5" s="1"/>
  <c r="U22" i="3"/>
  <c r="T22" i="5" s="1"/>
  <c r="T22" i="3"/>
  <c r="S22" i="5" s="1"/>
  <c r="S22" i="3"/>
  <c r="R22" i="5" s="1"/>
  <c r="R22" i="3"/>
  <c r="Q22" i="5" s="1"/>
  <c r="Q22" i="3"/>
  <c r="P22" i="5" s="1"/>
  <c r="P22" i="3"/>
  <c r="O22" i="5" s="1"/>
  <c r="O22" i="3"/>
  <c r="N22" i="5" s="1"/>
  <c r="N22" i="3"/>
  <c r="M22" i="5" s="1"/>
  <c r="M22" i="3"/>
  <c r="L22" i="5" s="1"/>
  <c r="L22" i="3"/>
  <c r="K22" i="5" s="1"/>
  <c r="K22" i="3"/>
  <c r="J22" i="5" s="1"/>
  <c r="J22" i="3"/>
  <c r="I22" i="5" s="1"/>
  <c r="I22" i="3"/>
  <c r="H22" i="5" s="1"/>
  <c r="H22" i="3"/>
  <c r="G22" i="5" s="1"/>
  <c r="G22" i="3"/>
  <c r="F22" i="5" s="1"/>
  <c r="F22" i="3"/>
  <c r="E22" i="5" s="1"/>
  <c r="E22" i="3"/>
  <c r="D22" i="5" s="1"/>
  <c r="D22" i="3"/>
  <c r="C22" i="5" s="1"/>
  <c r="C22" i="3"/>
  <c r="AH21" i="3"/>
  <c r="AG21" i="3"/>
  <c r="AF21" i="5" s="1"/>
  <c r="AF21" i="3"/>
  <c r="AE21" i="5" s="1"/>
  <c r="AE21" i="3"/>
  <c r="AD21" i="5" s="1"/>
  <c r="AD21" i="3"/>
  <c r="AC21" i="5" s="1"/>
  <c r="AC21" i="3"/>
  <c r="AB21" i="5" s="1"/>
  <c r="AB21" i="3"/>
  <c r="AA21" i="5" s="1"/>
  <c r="AA21" i="3"/>
  <c r="Z21" i="5" s="1"/>
  <c r="Z21" i="3"/>
  <c r="Y21" i="5" s="1"/>
  <c r="Y21" i="3"/>
  <c r="X21" i="5" s="1"/>
  <c r="X21" i="3"/>
  <c r="W21" i="5" s="1"/>
  <c r="W21" i="3"/>
  <c r="V21" i="5" s="1"/>
  <c r="V21" i="3"/>
  <c r="U21" i="5" s="1"/>
  <c r="U21" i="3"/>
  <c r="T21" i="5" s="1"/>
  <c r="T21" i="3"/>
  <c r="S21" i="5" s="1"/>
  <c r="S21" i="3"/>
  <c r="R21" i="5" s="1"/>
  <c r="R21" i="3"/>
  <c r="Q21" i="5" s="1"/>
  <c r="Q21" i="3"/>
  <c r="P21" i="5" s="1"/>
  <c r="P21" i="3"/>
  <c r="O21" i="5" s="1"/>
  <c r="O21" i="3"/>
  <c r="N21" i="5" s="1"/>
  <c r="N21" i="3"/>
  <c r="M21" i="5" s="1"/>
  <c r="M21" i="3"/>
  <c r="L21" i="5" s="1"/>
  <c r="L21" i="3"/>
  <c r="K21" i="5" s="1"/>
  <c r="K21" i="3"/>
  <c r="J21" i="5" s="1"/>
  <c r="J21" i="3"/>
  <c r="I21" i="5" s="1"/>
  <c r="I21" i="3"/>
  <c r="H21" i="5" s="1"/>
  <c r="H21" i="3"/>
  <c r="G21" i="5" s="1"/>
  <c r="G21" i="3"/>
  <c r="F21" i="5" s="1"/>
  <c r="F21" i="3"/>
  <c r="E21" i="5" s="1"/>
  <c r="E21" i="3"/>
  <c r="D21" i="5" s="1"/>
  <c r="D21" i="3"/>
  <c r="C21" i="5" s="1"/>
  <c r="C21" i="3"/>
  <c r="AH20" i="3"/>
  <c r="AG20" i="3"/>
  <c r="AF20" i="5" s="1"/>
  <c r="AF20" i="3"/>
  <c r="AE20" i="5" s="1"/>
  <c r="AE20" i="3"/>
  <c r="AD20" i="5" s="1"/>
  <c r="AD20" i="3"/>
  <c r="AC20" i="5" s="1"/>
  <c r="AC20" i="3"/>
  <c r="AB20" i="5" s="1"/>
  <c r="AB20" i="3"/>
  <c r="AA20" i="5" s="1"/>
  <c r="AA20" i="3"/>
  <c r="Z20" i="5" s="1"/>
  <c r="Z20" i="3"/>
  <c r="Y20" i="5" s="1"/>
  <c r="Y20" i="3"/>
  <c r="X20" i="5" s="1"/>
  <c r="X20" i="3"/>
  <c r="W20" i="5" s="1"/>
  <c r="W20" i="3"/>
  <c r="V20" i="5" s="1"/>
  <c r="V20" i="3"/>
  <c r="U20" i="5" s="1"/>
  <c r="U20" i="3"/>
  <c r="T20" i="5" s="1"/>
  <c r="T20" i="3"/>
  <c r="S20" i="5" s="1"/>
  <c r="S20" i="3"/>
  <c r="R20" i="5" s="1"/>
  <c r="R20" i="3"/>
  <c r="Q20" i="5" s="1"/>
  <c r="Q20" i="3"/>
  <c r="P20" i="5" s="1"/>
  <c r="P20" i="3"/>
  <c r="O20" i="5" s="1"/>
  <c r="O20" i="3"/>
  <c r="N20" i="5" s="1"/>
  <c r="N20" i="3"/>
  <c r="M20" i="5" s="1"/>
  <c r="M20" i="3"/>
  <c r="L20" i="5" s="1"/>
  <c r="L20" i="3"/>
  <c r="K20" i="5" s="1"/>
  <c r="K20" i="3"/>
  <c r="J20" i="5" s="1"/>
  <c r="J20" i="3"/>
  <c r="I20" i="5" s="1"/>
  <c r="I20" i="3"/>
  <c r="H20" i="5" s="1"/>
  <c r="H20" i="3"/>
  <c r="G20" i="5" s="1"/>
  <c r="G20" i="3"/>
  <c r="F20" i="5" s="1"/>
  <c r="F20" i="3"/>
  <c r="E20" i="5" s="1"/>
  <c r="E20" i="3"/>
  <c r="D20" i="5" s="1"/>
  <c r="D20" i="3"/>
  <c r="C20" i="5" s="1"/>
  <c r="C20" i="3"/>
  <c r="AH19" i="3"/>
  <c r="AG19" i="3"/>
  <c r="AF19" i="5" s="1"/>
  <c r="AF19" i="3"/>
  <c r="AE19" i="5" s="1"/>
  <c r="AE19" i="3"/>
  <c r="AD19" i="5" s="1"/>
  <c r="AD19" i="3"/>
  <c r="AC19" i="5" s="1"/>
  <c r="AC19" i="3"/>
  <c r="AB19" i="5" s="1"/>
  <c r="AB19" i="3"/>
  <c r="AA19" i="5" s="1"/>
  <c r="AA19" i="3"/>
  <c r="Z19" i="5" s="1"/>
  <c r="Z19" i="3"/>
  <c r="Y19" i="5" s="1"/>
  <c r="Y19" i="3"/>
  <c r="X19" i="5" s="1"/>
  <c r="X19" i="3"/>
  <c r="W19" i="5" s="1"/>
  <c r="W19" i="3"/>
  <c r="V19" i="5" s="1"/>
  <c r="V19" i="3"/>
  <c r="U19" i="5" s="1"/>
  <c r="U19" i="3"/>
  <c r="T19" i="5" s="1"/>
  <c r="T19" i="3"/>
  <c r="S19" i="5" s="1"/>
  <c r="S19" i="3"/>
  <c r="R19" i="5" s="1"/>
  <c r="R19" i="3"/>
  <c r="Q19" i="5" s="1"/>
  <c r="Q19" i="3"/>
  <c r="P19" i="5" s="1"/>
  <c r="P19" i="3"/>
  <c r="O19" i="5" s="1"/>
  <c r="O19" i="3"/>
  <c r="N19" i="5" s="1"/>
  <c r="N19" i="3"/>
  <c r="M19" i="5" s="1"/>
  <c r="M19" i="3"/>
  <c r="L19" i="5" s="1"/>
  <c r="L19" i="3"/>
  <c r="K19" i="5" s="1"/>
  <c r="K19" i="3"/>
  <c r="J19" i="5" s="1"/>
  <c r="J19" i="3"/>
  <c r="I19" i="5" s="1"/>
  <c r="I19" i="3"/>
  <c r="H19" i="5" s="1"/>
  <c r="H19" i="3"/>
  <c r="G19" i="5" s="1"/>
  <c r="G19" i="3"/>
  <c r="F19" i="5" s="1"/>
  <c r="F19" i="3"/>
  <c r="E19" i="5" s="1"/>
  <c r="E19" i="3"/>
  <c r="D19" i="5" s="1"/>
  <c r="D19" i="3"/>
  <c r="C19" i="5" s="1"/>
  <c r="C19" i="3"/>
  <c r="AH18" i="3"/>
  <c r="AG18" i="3"/>
  <c r="AF18" i="5" s="1"/>
  <c r="AF18" i="3"/>
  <c r="AE18" i="5" s="1"/>
  <c r="AE18" i="3"/>
  <c r="AD18" i="5" s="1"/>
  <c r="AD18" i="3"/>
  <c r="AC18" i="5" s="1"/>
  <c r="AC18" i="3"/>
  <c r="AB18" i="5" s="1"/>
  <c r="AB18" i="3"/>
  <c r="AA18" i="5" s="1"/>
  <c r="AA18" i="3"/>
  <c r="Z18" i="5" s="1"/>
  <c r="Z18" i="3"/>
  <c r="Y18" i="5" s="1"/>
  <c r="Y18" i="3"/>
  <c r="X18" i="5" s="1"/>
  <c r="X18" i="3"/>
  <c r="W18" i="5" s="1"/>
  <c r="W18" i="3"/>
  <c r="V18" i="5" s="1"/>
  <c r="V18" i="3"/>
  <c r="U18" i="5" s="1"/>
  <c r="U18" i="3"/>
  <c r="T18" i="5" s="1"/>
  <c r="T18" i="3"/>
  <c r="S18" i="5" s="1"/>
  <c r="S18" i="3"/>
  <c r="R18" i="5" s="1"/>
  <c r="R18" i="3"/>
  <c r="Q18" i="5" s="1"/>
  <c r="Q18" i="3"/>
  <c r="P18" i="5" s="1"/>
  <c r="P18" i="3"/>
  <c r="O18" i="5" s="1"/>
  <c r="O18" i="3"/>
  <c r="N18" i="5" s="1"/>
  <c r="N18" i="3"/>
  <c r="M18" i="5" s="1"/>
  <c r="M18" i="3"/>
  <c r="L18" i="5" s="1"/>
  <c r="L18" i="3"/>
  <c r="K18" i="5" s="1"/>
  <c r="K18" i="3"/>
  <c r="J18" i="5" s="1"/>
  <c r="J18" i="3"/>
  <c r="I18" i="5" s="1"/>
  <c r="I18" i="3"/>
  <c r="H18" i="5" s="1"/>
  <c r="H18" i="3"/>
  <c r="G18" i="5" s="1"/>
  <c r="G18" i="3"/>
  <c r="F18" i="5" s="1"/>
  <c r="F18" i="3"/>
  <c r="E18" i="5" s="1"/>
  <c r="E18" i="3"/>
  <c r="D18" i="5" s="1"/>
  <c r="D18" i="3"/>
  <c r="C18" i="5" s="1"/>
  <c r="C18" i="3"/>
  <c r="AH17" i="3"/>
  <c r="AG17" i="3"/>
  <c r="AF17" i="5" s="1"/>
  <c r="AF17" i="3"/>
  <c r="AE17" i="5" s="1"/>
  <c r="AE17" i="3"/>
  <c r="AD17" i="5" s="1"/>
  <c r="AD17" i="3"/>
  <c r="AC17" i="5" s="1"/>
  <c r="AC17" i="3"/>
  <c r="AB17" i="5" s="1"/>
  <c r="AB17" i="3"/>
  <c r="AA17" i="5" s="1"/>
  <c r="AA17" i="3"/>
  <c r="Z17" i="5" s="1"/>
  <c r="Z17" i="3"/>
  <c r="Y17" i="5" s="1"/>
  <c r="Y17" i="3"/>
  <c r="X17" i="5" s="1"/>
  <c r="X17" i="3"/>
  <c r="W17" i="5" s="1"/>
  <c r="W17" i="3"/>
  <c r="V17" i="5" s="1"/>
  <c r="V17" i="3"/>
  <c r="U17" i="5" s="1"/>
  <c r="U17" i="3"/>
  <c r="T17" i="5" s="1"/>
  <c r="T17" i="3"/>
  <c r="S17" i="5" s="1"/>
  <c r="S17" i="3"/>
  <c r="R17" i="5" s="1"/>
  <c r="R17" i="3"/>
  <c r="Q17" i="5" s="1"/>
  <c r="Q17" i="3"/>
  <c r="P17" i="5" s="1"/>
  <c r="P17" i="3"/>
  <c r="O17" i="5" s="1"/>
  <c r="O17" i="3"/>
  <c r="N17" i="5" s="1"/>
  <c r="N17" i="3"/>
  <c r="M17" i="5" s="1"/>
  <c r="M17" i="3"/>
  <c r="L17" i="5" s="1"/>
  <c r="L17" i="3"/>
  <c r="K17" i="5" s="1"/>
  <c r="K17" i="3"/>
  <c r="J17" i="5" s="1"/>
  <c r="J17" i="3"/>
  <c r="I17" i="5" s="1"/>
  <c r="I17" i="3"/>
  <c r="H17" i="5" s="1"/>
  <c r="H17" i="3"/>
  <c r="G17" i="5" s="1"/>
  <c r="G17" i="3"/>
  <c r="F17" i="5" s="1"/>
  <c r="F17" i="3"/>
  <c r="E17" i="5" s="1"/>
  <c r="E17" i="3"/>
  <c r="D17" i="5" s="1"/>
  <c r="D17" i="3"/>
  <c r="C17" i="5" s="1"/>
  <c r="C17" i="3"/>
  <c r="AH16" i="3"/>
  <c r="AG16" i="3"/>
  <c r="AF16" i="5" s="1"/>
  <c r="AF16" i="3"/>
  <c r="AE16" i="5" s="1"/>
  <c r="AE16" i="3"/>
  <c r="AD16" i="5" s="1"/>
  <c r="AD16" i="3"/>
  <c r="AC16" i="5" s="1"/>
  <c r="AC16" i="3"/>
  <c r="AB16" i="5" s="1"/>
  <c r="AB16" i="3"/>
  <c r="AA16" i="5" s="1"/>
  <c r="AA16" i="3"/>
  <c r="Z16" i="5" s="1"/>
  <c r="Z16" i="3"/>
  <c r="Y16" i="5" s="1"/>
  <c r="Y16" i="3"/>
  <c r="X16" i="5" s="1"/>
  <c r="X16" i="3"/>
  <c r="W16" i="5" s="1"/>
  <c r="W16" i="3"/>
  <c r="V16" i="5" s="1"/>
  <c r="V16" i="3"/>
  <c r="U16" i="5" s="1"/>
  <c r="U16" i="3"/>
  <c r="T16" i="5" s="1"/>
  <c r="T16" i="3"/>
  <c r="S16" i="5" s="1"/>
  <c r="S16" i="3"/>
  <c r="R16" i="5" s="1"/>
  <c r="R16" i="3"/>
  <c r="Q16" i="5" s="1"/>
  <c r="Q16" i="3"/>
  <c r="P16" i="5" s="1"/>
  <c r="P16" i="3"/>
  <c r="O16" i="5" s="1"/>
  <c r="O16" i="3"/>
  <c r="N16" i="5" s="1"/>
  <c r="N16" i="3"/>
  <c r="M16" i="5" s="1"/>
  <c r="M16" i="3"/>
  <c r="L16" i="5" s="1"/>
  <c r="L16" i="3"/>
  <c r="K16" i="5" s="1"/>
  <c r="K16" i="3"/>
  <c r="J16" i="5" s="1"/>
  <c r="J16" i="3"/>
  <c r="I16" i="5" s="1"/>
  <c r="I16" i="3"/>
  <c r="H16" i="5" s="1"/>
  <c r="H16" i="3"/>
  <c r="G16" i="5" s="1"/>
  <c r="G16" i="3"/>
  <c r="F16" i="5" s="1"/>
  <c r="F16" i="3"/>
  <c r="E16" i="5" s="1"/>
  <c r="E16" i="3"/>
  <c r="D16" i="5" s="1"/>
  <c r="D16" i="3"/>
  <c r="C16" i="5" s="1"/>
  <c r="C16" i="3"/>
  <c r="AH15" i="3"/>
  <c r="AG15" i="3"/>
  <c r="AF15" i="5" s="1"/>
  <c r="AF15" i="3"/>
  <c r="AE15" i="5" s="1"/>
  <c r="AE15" i="3"/>
  <c r="AD15" i="5" s="1"/>
  <c r="AD15" i="3"/>
  <c r="AC15" i="5" s="1"/>
  <c r="AC15" i="3"/>
  <c r="AB15" i="5" s="1"/>
  <c r="AB15" i="3"/>
  <c r="AA15" i="5" s="1"/>
  <c r="AA15" i="3"/>
  <c r="Z15" i="5" s="1"/>
  <c r="Z15" i="3"/>
  <c r="Y15" i="5" s="1"/>
  <c r="Y15" i="3"/>
  <c r="X15" i="5" s="1"/>
  <c r="X15" i="3"/>
  <c r="W15" i="5" s="1"/>
  <c r="W15" i="3"/>
  <c r="V15" i="5" s="1"/>
  <c r="V15" i="3"/>
  <c r="U15" i="5" s="1"/>
  <c r="U15" i="3"/>
  <c r="T15" i="5" s="1"/>
  <c r="T15" i="3"/>
  <c r="S15" i="5" s="1"/>
  <c r="S15" i="3"/>
  <c r="R15" i="5" s="1"/>
  <c r="R15" i="3"/>
  <c r="Q15" i="5" s="1"/>
  <c r="Q15" i="3"/>
  <c r="P15" i="5" s="1"/>
  <c r="P15" i="3"/>
  <c r="O15" i="5" s="1"/>
  <c r="O15" i="3"/>
  <c r="N15" i="5" s="1"/>
  <c r="N15" i="3"/>
  <c r="M15" i="5" s="1"/>
  <c r="M15" i="3"/>
  <c r="L15" i="5" s="1"/>
  <c r="L15" i="3"/>
  <c r="K15" i="5" s="1"/>
  <c r="K15" i="3"/>
  <c r="J15" i="5" s="1"/>
  <c r="J15" i="3"/>
  <c r="I15" i="5" s="1"/>
  <c r="I15" i="3"/>
  <c r="H15" i="5" s="1"/>
  <c r="H15" i="3"/>
  <c r="G15" i="5" s="1"/>
  <c r="G15" i="3"/>
  <c r="F15" i="5" s="1"/>
  <c r="F15" i="3"/>
  <c r="E15" i="5" s="1"/>
  <c r="E15" i="3"/>
  <c r="D15" i="5" s="1"/>
  <c r="D15" i="3"/>
  <c r="C15" i="5" s="1"/>
  <c r="C15" i="3"/>
  <c r="AH14" i="3"/>
  <c r="AG14" i="3"/>
  <c r="AF14" i="5" s="1"/>
  <c r="AF14" i="3"/>
  <c r="AE14" i="5" s="1"/>
  <c r="AE14" i="3"/>
  <c r="AD14" i="5" s="1"/>
  <c r="AD14" i="3"/>
  <c r="AC14" i="5" s="1"/>
  <c r="AC14" i="3"/>
  <c r="AB14" i="5" s="1"/>
  <c r="AB14" i="3"/>
  <c r="AA14" i="5" s="1"/>
  <c r="AA14" i="3"/>
  <c r="Z14" i="5" s="1"/>
  <c r="Z14" i="3"/>
  <c r="Y14" i="5" s="1"/>
  <c r="Y14" i="3"/>
  <c r="X14" i="5" s="1"/>
  <c r="X14" i="3"/>
  <c r="W14" i="5" s="1"/>
  <c r="W14" i="3"/>
  <c r="V14" i="5" s="1"/>
  <c r="V14" i="3"/>
  <c r="U14" i="5" s="1"/>
  <c r="U14" i="3"/>
  <c r="T14" i="5" s="1"/>
  <c r="T14" i="3"/>
  <c r="S14" i="5" s="1"/>
  <c r="S14" i="3"/>
  <c r="R14" i="5" s="1"/>
  <c r="R14" i="3"/>
  <c r="Q14" i="5" s="1"/>
  <c r="Q14" i="3"/>
  <c r="P14" i="5" s="1"/>
  <c r="P14" i="3"/>
  <c r="O14" i="5" s="1"/>
  <c r="O14" i="3"/>
  <c r="N14" i="5" s="1"/>
  <c r="N14" i="3"/>
  <c r="M14" i="5" s="1"/>
  <c r="M14" i="3"/>
  <c r="L14" i="5" s="1"/>
  <c r="L14" i="3"/>
  <c r="K14" i="5" s="1"/>
  <c r="K14" i="3"/>
  <c r="J14" i="5" s="1"/>
  <c r="J14" i="3"/>
  <c r="I14" i="5" s="1"/>
  <c r="I14" i="3"/>
  <c r="H14" i="5" s="1"/>
  <c r="H14" i="3"/>
  <c r="G14" i="5" s="1"/>
  <c r="G14" i="3"/>
  <c r="F14" i="5" s="1"/>
  <c r="F14" i="3"/>
  <c r="E14" i="5" s="1"/>
  <c r="E14" i="3"/>
  <c r="D14" i="5" s="1"/>
  <c r="D14" i="3"/>
  <c r="C14" i="5" s="1"/>
  <c r="C14" i="3"/>
  <c r="AH13" i="3"/>
  <c r="AG13" i="3"/>
  <c r="AF13" i="5" s="1"/>
  <c r="AF13" i="3"/>
  <c r="AE13" i="5" s="1"/>
  <c r="AE13" i="3"/>
  <c r="AD13" i="5" s="1"/>
  <c r="AD13" i="3"/>
  <c r="AC13" i="5" s="1"/>
  <c r="AC13" i="3"/>
  <c r="AB13" i="5" s="1"/>
  <c r="AB13" i="3"/>
  <c r="AA13" i="5" s="1"/>
  <c r="AA13" i="3"/>
  <c r="Z13" i="5" s="1"/>
  <c r="Z13" i="3"/>
  <c r="Y13" i="5" s="1"/>
  <c r="Y13" i="3"/>
  <c r="X13" i="5" s="1"/>
  <c r="X13" i="3"/>
  <c r="W13" i="5" s="1"/>
  <c r="W13" i="3"/>
  <c r="V13" i="5" s="1"/>
  <c r="V13" i="3"/>
  <c r="U13" i="5" s="1"/>
  <c r="U13" i="3"/>
  <c r="T13" i="5" s="1"/>
  <c r="T13" i="3"/>
  <c r="S13" i="5" s="1"/>
  <c r="S13" i="3"/>
  <c r="R13" i="5" s="1"/>
  <c r="R13" i="3"/>
  <c r="Q13" i="5" s="1"/>
  <c r="Q13" i="3"/>
  <c r="P13" i="5" s="1"/>
  <c r="P13" i="3"/>
  <c r="O13" i="5" s="1"/>
  <c r="O13" i="3"/>
  <c r="N13" i="5" s="1"/>
  <c r="N13" i="3"/>
  <c r="M13" i="5" s="1"/>
  <c r="M13" i="3"/>
  <c r="L13" i="5" s="1"/>
  <c r="L13" i="3"/>
  <c r="K13" i="5" s="1"/>
  <c r="K13" i="3"/>
  <c r="J13" i="5" s="1"/>
  <c r="J13" i="3"/>
  <c r="I13" i="5" s="1"/>
  <c r="I13" i="3"/>
  <c r="H13" i="5" s="1"/>
  <c r="H13" i="3"/>
  <c r="G13" i="5" s="1"/>
  <c r="G13" i="3"/>
  <c r="F13" i="5" s="1"/>
  <c r="F13" i="3"/>
  <c r="E13" i="5" s="1"/>
  <c r="E13" i="3"/>
  <c r="D13" i="5" s="1"/>
  <c r="D13" i="3"/>
  <c r="C13" i="5" s="1"/>
  <c r="C13" i="3"/>
  <c r="AH12" i="3"/>
  <c r="AG12" i="3"/>
  <c r="AF12" i="5" s="1"/>
  <c r="AF12" i="3"/>
  <c r="AE12" i="5" s="1"/>
  <c r="AE12" i="3"/>
  <c r="AD12" i="5" s="1"/>
  <c r="AD12" i="3"/>
  <c r="AC12" i="5" s="1"/>
  <c r="AC12" i="3"/>
  <c r="AB12" i="5" s="1"/>
  <c r="AB12" i="3"/>
  <c r="AA12" i="5" s="1"/>
  <c r="AA12" i="3"/>
  <c r="Z12" i="5" s="1"/>
  <c r="Z12" i="3"/>
  <c r="Y12" i="5" s="1"/>
  <c r="Y12" i="3"/>
  <c r="X12" i="5" s="1"/>
  <c r="X12" i="3"/>
  <c r="W12" i="5" s="1"/>
  <c r="W12" i="3"/>
  <c r="V12" i="5" s="1"/>
  <c r="V12" i="3"/>
  <c r="U12" i="5" s="1"/>
  <c r="U12" i="3"/>
  <c r="T12" i="5" s="1"/>
  <c r="T12" i="3"/>
  <c r="S12" i="5" s="1"/>
  <c r="S12" i="3"/>
  <c r="R12" i="5" s="1"/>
  <c r="R12" i="3"/>
  <c r="Q12" i="5" s="1"/>
  <c r="Q12" i="3"/>
  <c r="P12" i="5" s="1"/>
  <c r="P12" i="3"/>
  <c r="O12" i="5" s="1"/>
  <c r="O12" i="3"/>
  <c r="N12" i="5" s="1"/>
  <c r="N12" i="3"/>
  <c r="M12" i="5" s="1"/>
  <c r="M12" i="3"/>
  <c r="L12" i="5" s="1"/>
  <c r="L12" i="3"/>
  <c r="K12" i="5" s="1"/>
  <c r="K12" i="3"/>
  <c r="J12" i="5" s="1"/>
  <c r="J12" i="3"/>
  <c r="I12" i="5" s="1"/>
  <c r="I12" i="3"/>
  <c r="H12" i="5" s="1"/>
  <c r="H12" i="3"/>
  <c r="G12" i="5" s="1"/>
  <c r="G12" i="3"/>
  <c r="F12" i="5" s="1"/>
  <c r="F12" i="3"/>
  <c r="E12" i="5" s="1"/>
  <c r="E12" i="3"/>
  <c r="D12" i="5" s="1"/>
  <c r="D12" i="3"/>
  <c r="C12" i="5" s="1"/>
  <c r="C12" i="3"/>
  <c r="AH11" i="3"/>
  <c r="AG11" i="3"/>
  <c r="AF11" i="5" s="1"/>
  <c r="AF11" i="3"/>
  <c r="AE11" i="5" s="1"/>
  <c r="AE11" i="3"/>
  <c r="AD11" i="5" s="1"/>
  <c r="AD11" i="3"/>
  <c r="AC11" i="5" s="1"/>
  <c r="AC11" i="3"/>
  <c r="AB11" i="5" s="1"/>
  <c r="AB11" i="3"/>
  <c r="AA11" i="5" s="1"/>
  <c r="AA11" i="3"/>
  <c r="Z11" i="5" s="1"/>
  <c r="Z11" i="3"/>
  <c r="Y11" i="5" s="1"/>
  <c r="Y11" i="3"/>
  <c r="X11" i="5" s="1"/>
  <c r="X11" i="3"/>
  <c r="W11" i="5" s="1"/>
  <c r="W11" i="3"/>
  <c r="V11" i="5" s="1"/>
  <c r="V11" i="3"/>
  <c r="U11" i="5" s="1"/>
  <c r="U11" i="3"/>
  <c r="T11" i="5" s="1"/>
  <c r="T11" i="3"/>
  <c r="S11" i="5" s="1"/>
  <c r="S11" i="3"/>
  <c r="R11" i="5" s="1"/>
  <c r="R11" i="3"/>
  <c r="Q11" i="5" s="1"/>
  <c r="Q11" i="3"/>
  <c r="P11" i="5" s="1"/>
  <c r="P11" i="3"/>
  <c r="O11" i="5" s="1"/>
  <c r="O11" i="3"/>
  <c r="N11" i="5" s="1"/>
  <c r="N11" i="3"/>
  <c r="M11" i="5" s="1"/>
  <c r="M11" i="3"/>
  <c r="L11" i="5" s="1"/>
  <c r="L11" i="3"/>
  <c r="K11" i="5" s="1"/>
  <c r="K11" i="3"/>
  <c r="J11" i="5" s="1"/>
  <c r="J11" i="3"/>
  <c r="I11" i="5" s="1"/>
  <c r="I11" i="3"/>
  <c r="H11" i="5" s="1"/>
  <c r="H11" i="3"/>
  <c r="G11" i="5" s="1"/>
  <c r="G11" i="3"/>
  <c r="F11" i="5" s="1"/>
  <c r="F11" i="3"/>
  <c r="E11" i="5" s="1"/>
  <c r="E11" i="3"/>
  <c r="D11" i="5" s="1"/>
  <c r="D11" i="3"/>
  <c r="C11" i="5" s="1"/>
  <c r="C11" i="3"/>
  <c r="AH10" i="3"/>
  <c r="AG10" i="3"/>
  <c r="AF10" i="5" s="1"/>
  <c r="AF10" i="3"/>
  <c r="AE10" i="5" s="1"/>
  <c r="AE10" i="3"/>
  <c r="AD10" i="5" s="1"/>
  <c r="AD10" i="3"/>
  <c r="AC10" i="5" s="1"/>
  <c r="AC10" i="3"/>
  <c r="AB10" i="5" s="1"/>
  <c r="AB10" i="3"/>
  <c r="AA10" i="5" s="1"/>
  <c r="AA10" i="3"/>
  <c r="Z10" i="5" s="1"/>
  <c r="Z10" i="3"/>
  <c r="Y10" i="5" s="1"/>
  <c r="Y10" i="3"/>
  <c r="X10" i="5" s="1"/>
  <c r="X10" i="3"/>
  <c r="W10" i="5" s="1"/>
  <c r="W10" i="3"/>
  <c r="V10" i="5" s="1"/>
  <c r="V10" i="3"/>
  <c r="U10" i="5" s="1"/>
  <c r="U10" i="3"/>
  <c r="T10" i="5" s="1"/>
  <c r="T10" i="3"/>
  <c r="S10" i="5" s="1"/>
  <c r="S10" i="3"/>
  <c r="R10" i="5" s="1"/>
  <c r="R10" i="3"/>
  <c r="Q10" i="5" s="1"/>
  <c r="Q10" i="3"/>
  <c r="P10" i="5" s="1"/>
  <c r="P10" i="3"/>
  <c r="O10" i="5" s="1"/>
  <c r="O10" i="3"/>
  <c r="N10" i="5" s="1"/>
  <c r="N10" i="3"/>
  <c r="M10" i="5" s="1"/>
  <c r="M10" i="3"/>
  <c r="L10" i="5" s="1"/>
  <c r="L10" i="3"/>
  <c r="K10" i="5" s="1"/>
  <c r="K10" i="3"/>
  <c r="J10" i="5" s="1"/>
  <c r="J10" i="3"/>
  <c r="I10" i="5" s="1"/>
  <c r="I10" i="3"/>
  <c r="H10" i="5" s="1"/>
  <c r="H10" i="3"/>
  <c r="G10" i="5" s="1"/>
  <c r="G10" i="3"/>
  <c r="F10" i="5" s="1"/>
  <c r="F10" i="3"/>
  <c r="E10" i="5" s="1"/>
  <c r="E10" i="3"/>
  <c r="D10" i="5" s="1"/>
  <c r="D10" i="3"/>
  <c r="C10" i="5" s="1"/>
  <c r="C10" i="3"/>
  <c r="AH9" i="3"/>
  <c r="AG9" i="3"/>
  <c r="AF9" i="5" s="1"/>
  <c r="AF9" i="3"/>
  <c r="AE9" i="5" s="1"/>
  <c r="AE9" i="3"/>
  <c r="AD9" i="5" s="1"/>
  <c r="AD9" i="3"/>
  <c r="AC9" i="5" s="1"/>
  <c r="AC9" i="3"/>
  <c r="AB9" i="5" s="1"/>
  <c r="AB9" i="3"/>
  <c r="AA9" i="5" s="1"/>
  <c r="AA9" i="3"/>
  <c r="Z9" i="5" s="1"/>
  <c r="Z9" i="3"/>
  <c r="Y9" i="5" s="1"/>
  <c r="Y9" i="3"/>
  <c r="X9" i="5" s="1"/>
  <c r="X9" i="3"/>
  <c r="W9" i="5" s="1"/>
  <c r="W9" i="3"/>
  <c r="V9" i="5" s="1"/>
  <c r="V9" i="3"/>
  <c r="U9" i="5" s="1"/>
  <c r="U9" i="3"/>
  <c r="T9" i="5" s="1"/>
  <c r="T9" i="3"/>
  <c r="S9" i="5" s="1"/>
  <c r="S9" i="3"/>
  <c r="R9" i="5" s="1"/>
  <c r="R9" i="3"/>
  <c r="Q9" i="5" s="1"/>
  <c r="Q9" i="3"/>
  <c r="P9" i="5" s="1"/>
  <c r="P9" i="3"/>
  <c r="O9" i="5" s="1"/>
  <c r="O9" i="3"/>
  <c r="N9" i="5" s="1"/>
  <c r="N9" i="3"/>
  <c r="M9" i="5" s="1"/>
  <c r="M9" i="3"/>
  <c r="L9" i="5" s="1"/>
  <c r="L9" i="3"/>
  <c r="K9" i="5" s="1"/>
  <c r="K9" i="3"/>
  <c r="J9" i="5" s="1"/>
  <c r="J9" i="3"/>
  <c r="I9" i="5" s="1"/>
  <c r="I9" i="3"/>
  <c r="H9" i="5" s="1"/>
  <c r="H9" i="3"/>
  <c r="G9" i="5" s="1"/>
  <c r="G9" i="3"/>
  <c r="F9" i="5" s="1"/>
  <c r="F9" i="3"/>
  <c r="E9" i="5" s="1"/>
  <c r="E9" i="3"/>
  <c r="D9" i="5" s="1"/>
  <c r="D9" i="3"/>
  <c r="C9" i="5" s="1"/>
  <c r="C9" i="3"/>
  <c r="AH8" i="3"/>
  <c r="AG8" i="3"/>
  <c r="AF8" i="5" s="1"/>
  <c r="AF8" i="3"/>
  <c r="AE8" i="5" s="1"/>
  <c r="AE8" i="3"/>
  <c r="AD8" i="5" s="1"/>
  <c r="AD8" i="3"/>
  <c r="AC8" i="5" s="1"/>
  <c r="AC8" i="3"/>
  <c r="AB8" i="5" s="1"/>
  <c r="AB8" i="3"/>
  <c r="AA8" i="5" s="1"/>
  <c r="AA8" i="3"/>
  <c r="Z8" i="5" s="1"/>
  <c r="Z8" i="3"/>
  <c r="Y8" i="5" s="1"/>
  <c r="Y8" i="3"/>
  <c r="X8" i="5" s="1"/>
  <c r="X8" i="3"/>
  <c r="W8" i="5" s="1"/>
  <c r="W8" i="3"/>
  <c r="V8" i="5" s="1"/>
  <c r="V8" i="3"/>
  <c r="U8" i="5" s="1"/>
  <c r="U8" i="3"/>
  <c r="T8" i="5" s="1"/>
  <c r="T8" i="3"/>
  <c r="S8" i="5" s="1"/>
  <c r="S8" i="3"/>
  <c r="R8" i="5" s="1"/>
  <c r="R8" i="3"/>
  <c r="Q8" i="5" s="1"/>
  <c r="Q8" i="3"/>
  <c r="P8" i="5" s="1"/>
  <c r="P8" i="3"/>
  <c r="O8" i="5" s="1"/>
  <c r="O8" i="3"/>
  <c r="N8" i="5" s="1"/>
  <c r="N8" i="3"/>
  <c r="M8" i="5" s="1"/>
  <c r="M8" i="3"/>
  <c r="L8" i="5" s="1"/>
  <c r="L8" i="3"/>
  <c r="K8" i="5" s="1"/>
  <c r="K8" i="3"/>
  <c r="J8" i="5" s="1"/>
  <c r="J8" i="3"/>
  <c r="I8" i="5" s="1"/>
  <c r="I8" i="3"/>
  <c r="H8" i="5" s="1"/>
  <c r="H8" i="3"/>
  <c r="G8" i="5" s="1"/>
  <c r="G8" i="3"/>
  <c r="F8" i="5" s="1"/>
  <c r="F8" i="3"/>
  <c r="E8" i="5" s="1"/>
  <c r="E8" i="3"/>
  <c r="D8" i="5" s="1"/>
  <c r="D8" i="3"/>
  <c r="C8" i="5" s="1"/>
  <c r="C8" i="3"/>
  <c r="AH7" i="3"/>
  <c r="AG7" i="3"/>
  <c r="AF7" i="5" s="1"/>
  <c r="AF7" i="3"/>
  <c r="AE7" i="5" s="1"/>
  <c r="AE7" i="3"/>
  <c r="AD7" i="5" s="1"/>
  <c r="AD7" i="3"/>
  <c r="AC7" i="5" s="1"/>
  <c r="AC7" i="3"/>
  <c r="AB7" i="5" s="1"/>
  <c r="AB7" i="3"/>
  <c r="AA7" i="5" s="1"/>
  <c r="AA7" i="3"/>
  <c r="Z7" i="5" s="1"/>
  <c r="Z7" i="3"/>
  <c r="Y7" i="5" s="1"/>
  <c r="Y7" i="3"/>
  <c r="X7" i="5" s="1"/>
  <c r="X7" i="3"/>
  <c r="W7" i="5" s="1"/>
  <c r="W7" i="3"/>
  <c r="V7" i="5" s="1"/>
  <c r="V7" i="3"/>
  <c r="U7" i="5" s="1"/>
  <c r="U7" i="3"/>
  <c r="T7" i="5" s="1"/>
  <c r="T7" i="3"/>
  <c r="S7" i="5" s="1"/>
  <c r="S7" i="3"/>
  <c r="R7" i="5" s="1"/>
  <c r="R7" i="3"/>
  <c r="Q7" i="5" s="1"/>
  <c r="Q7" i="3"/>
  <c r="P7" i="5" s="1"/>
  <c r="P7" i="3"/>
  <c r="O7" i="5" s="1"/>
  <c r="O7" i="3"/>
  <c r="N7" i="5" s="1"/>
  <c r="N7" i="3"/>
  <c r="M7" i="5" s="1"/>
  <c r="M7" i="3"/>
  <c r="L7" i="5" s="1"/>
  <c r="L7" i="3"/>
  <c r="K7" i="5" s="1"/>
  <c r="K7" i="3"/>
  <c r="J7" i="5" s="1"/>
  <c r="J7" i="3"/>
  <c r="I7" i="5" s="1"/>
  <c r="I7" i="3"/>
  <c r="H7" i="5" s="1"/>
  <c r="H7" i="3"/>
  <c r="G7" i="5" s="1"/>
  <c r="G7" i="3"/>
  <c r="F7" i="5" s="1"/>
  <c r="F7" i="3"/>
  <c r="E7" i="5" s="1"/>
  <c r="E7" i="3"/>
  <c r="D7" i="5" s="1"/>
  <c r="D7" i="3"/>
  <c r="C7" i="5" s="1"/>
  <c r="C7" i="3"/>
  <c r="AH6" i="3"/>
  <c r="AG6" i="3"/>
  <c r="AF6" i="5" s="1"/>
  <c r="AF6" i="3"/>
  <c r="AE6" i="5" s="1"/>
  <c r="AE6" i="3"/>
  <c r="AD6" i="5" s="1"/>
  <c r="AD6" i="3"/>
  <c r="AC6" i="5" s="1"/>
  <c r="AC6" i="3"/>
  <c r="AB6" i="5" s="1"/>
  <c r="AB6" i="3"/>
  <c r="AA6" i="5" s="1"/>
  <c r="AA6" i="3"/>
  <c r="Z6" i="5" s="1"/>
  <c r="Z6" i="3"/>
  <c r="Y6" i="5" s="1"/>
  <c r="Y6" i="3"/>
  <c r="X6" i="5" s="1"/>
  <c r="X6" i="3"/>
  <c r="W6" i="5" s="1"/>
  <c r="W6" i="3"/>
  <c r="V6" i="5" s="1"/>
  <c r="V6" i="3"/>
  <c r="U6" i="5" s="1"/>
  <c r="U6" i="3"/>
  <c r="T6" i="5" s="1"/>
  <c r="T6" i="3"/>
  <c r="S6" i="5" s="1"/>
  <c r="S6" i="3"/>
  <c r="R6" i="5" s="1"/>
  <c r="R6" i="3"/>
  <c r="Q6" i="5" s="1"/>
  <c r="Q6" i="3"/>
  <c r="P6" i="5" s="1"/>
  <c r="P6" i="3"/>
  <c r="O6" i="5" s="1"/>
  <c r="O6" i="3"/>
  <c r="N6" i="5" s="1"/>
  <c r="N6" i="3"/>
  <c r="M6" i="5" s="1"/>
  <c r="M6" i="3"/>
  <c r="L6" i="5" s="1"/>
  <c r="L6" i="3"/>
  <c r="K6" i="5" s="1"/>
  <c r="K6" i="3"/>
  <c r="J6" i="5" s="1"/>
  <c r="J6" i="3"/>
  <c r="I6" i="5" s="1"/>
  <c r="I6" i="3"/>
  <c r="H6" i="5" s="1"/>
  <c r="H6" i="3"/>
  <c r="G6" i="5" s="1"/>
  <c r="G6" i="3"/>
  <c r="F6" i="5" s="1"/>
  <c r="F6" i="3"/>
  <c r="E6" i="5" s="1"/>
  <c r="E6" i="3"/>
  <c r="D6" i="5" s="1"/>
  <c r="D6" i="3"/>
  <c r="C6" i="5" s="1"/>
  <c r="C6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J5" i="3"/>
  <c r="I5" i="3"/>
  <c r="H5" i="3"/>
  <c r="G5" i="3"/>
  <c r="F5" i="3"/>
  <c r="E5" i="3"/>
  <c r="D5" i="3"/>
  <c r="C5" i="3"/>
  <c r="B5" i="4" s="1"/>
  <c r="AF7" i="6" l="1"/>
  <c r="G8" i="1"/>
  <c r="H8" i="7"/>
  <c r="H15" i="1" s="1"/>
  <c r="AE7" i="6"/>
  <c r="AD7" i="6"/>
  <c r="AC7" i="6"/>
  <c r="AB7" i="6"/>
  <c r="D31" i="8" s="1"/>
  <c r="F8" i="1"/>
  <c r="AA7" i="6"/>
  <c r="D30" i="8" s="1"/>
  <c r="Z7" i="6"/>
  <c r="D29" i="8" s="1"/>
  <c r="Y7" i="6"/>
  <c r="D28" i="8" s="1"/>
  <c r="X7" i="6"/>
  <c r="D27" i="8" s="1"/>
  <c r="W7" i="6"/>
  <c r="D26" i="8" s="1"/>
  <c r="V7" i="6"/>
  <c r="D25" i="8" s="1"/>
  <c r="U7" i="6"/>
  <c r="D24" i="8" s="1"/>
  <c r="T7" i="6"/>
  <c r="D23" i="8" s="1"/>
  <c r="S7" i="6"/>
  <c r="D22" i="8" s="1"/>
  <c r="R7" i="6"/>
  <c r="D21" i="8" s="1"/>
  <c r="Q7" i="6"/>
  <c r="D20" i="8" s="1"/>
  <c r="E8" i="1"/>
  <c r="P7" i="6"/>
  <c r="D19" i="8" s="1"/>
  <c r="D8" i="1"/>
  <c r="O7" i="6"/>
  <c r="D18" i="8" s="1"/>
  <c r="N7" i="6"/>
  <c r="M7" i="6"/>
  <c r="L7" i="6"/>
  <c r="K7" i="6"/>
  <c r="J7" i="6"/>
  <c r="D13" i="8" s="1"/>
  <c r="I7" i="6"/>
  <c r="D12" i="8" s="1"/>
  <c r="C8" i="1"/>
  <c r="H7" i="6"/>
  <c r="D11" i="8" s="1"/>
  <c r="G7" i="6"/>
  <c r="D10" i="8" s="1"/>
  <c r="F7" i="6"/>
  <c r="D9" i="8" s="1"/>
  <c r="E7" i="6"/>
  <c r="D8" i="8" s="1"/>
  <c r="D7" i="6"/>
  <c r="D7" i="8" s="1"/>
  <c r="C7" i="6"/>
  <c r="D6" i="8" s="1"/>
  <c r="B7" i="6"/>
  <c r="B8" i="1"/>
  <c r="B99" i="9"/>
  <c r="C38" i="8"/>
  <c r="B38" i="8"/>
  <c r="G7" i="1"/>
  <c r="H7" i="7"/>
  <c r="H14" i="1" s="1"/>
  <c r="AF6" i="6"/>
  <c r="AE6" i="6"/>
  <c r="AD6" i="6"/>
  <c r="AC6" i="6"/>
  <c r="F7" i="1"/>
  <c r="AB6" i="6"/>
  <c r="C31" i="8" s="1"/>
  <c r="AA6" i="6"/>
  <c r="Z6" i="6"/>
  <c r="Y6" i="6"/>
  <c r="X6" i="6"/>
  <c r="W6" i="6"/>
  <c r="C26" i="8" s="1"/>
  <c r="V6" i="6"/>
  <c r="C25" i="8" s="1"/>
  <c r="U6" i="6"/>
  <c r="C24" i="8" s="1"/>
  <c r="T6" i="6"/>
  <c r="C23" i="8" s="1"/>
  <c r="S6" i="6"/>
  <c r="C22" i="8" s="1"/>
  <c r="R6" i="6"/>
  <c r="C21" i="8" s="1"/>
  <c r="Q6" i="6"/>
  <c r="C20" i="8" s="1"/>
  <c r="E7" i="1"/>
  <c r="P6" i="6"/>
  <c r="C19" i="8" s="1"/>
  <c r="D7" i="1"/>
  <c r="O6" i="6"/>
  <c r="C18" i="8" s="1"/>
  <c r="N6" i="6"/>
  <c r="C17" i="8" s="1"/>
  <c r="M6" i="6"/>
  <c r="C16" i="8" s="1"/>
  <c r="AG26" i="5"/>
  <c r="I34" i="7"/>
  <c r="G34" i="7"/>
  <c r="D34" i="7"/>
  <c r="F34" i="7"/>
  <c r="E34" i="7"/>
  <c r="C34" i="7"/>
  <c r="I33" i="7"/>
  <c r="AG25" i="5"/>
  <c r="M6" i="4"/>
  <c r="M25" i="5"/>
  <c r="L6" i="4"/>
  <c r="L25" i="5"/>
  <c r="K6" i="4"/>
  <c r="K25" i="5"/>
  <c r="J6" i="4"/>
  <c r="J25" i="5"/>
  <c r="I6" i="4"/>
  <c r="I25" i="5"/>
  <c r="H6" i="4"/>
  <c r="H25" i="5"/>
  <c r="G6" i="4"/>
  <c r="G25" i="5"/>
  <c r="F25" i="5"/>
  <c r="F6" i="4"/>
  <c r="E25" i="5"/>
  <c r="E6" i="4"/>
  <c r="D25" i="5"/>
  <c r="D6" i="4"/>
  <c r="C6" i="4"/>
  <c r="C25" i="5"/>
  <c r="B37" i="8"/>
  <c r="C37" i="8"/>
  <c r="B7" i="1"/>
  <c r="I32" i="7"/>
  <c r="AG24" i="5"/>
  <c r="C32" i="7"/>
  <c r="G32" i="7"/>
  <c r="H32" i="7" s="1"/>
  <c r="D32" i="7"/>
  <c r="E32" i="7"/>
  <c r="F32" i="7"/>
  <c r="I31" i="7"/>
  <c r="AG23" i="5"/>
  <c r="C31" i="7"/>
  <c r="F31" i="7"/>
  <c r="D31" i="7"/>
  <c r="G31" i="7"/>
  <c r="H31" i="7" s="1"/>
  <c r="E31" i="7"/>
  <c r="AG22" i="5"/>
  <c r="I30" i="7"/>
  <c r="D30" i="7"/>
  <c r="G30" i="7"/>
  <c r="C30" i="7"/>
  <c r="E30" i="7"/>
  <c r="F30" i="7"/>
  <c r="I29" i="7"/>
  <c r="AG21" i="5"/>
  <c r="G29" i="7"/>
  <c r="C29" i="7"/>
  <c r="D29" i="7"/>
  <c r="I28" i="7"/>
  <c r="AG20" i="5"/>
  <c r="C28" i="7"/>
  <c r="D28" i="7"/>
  <c r="E28" i="7"/>
  <c r="F28" i="7"/>
  <c r="G28" i="7"/>
  <c r="H28" i="7" s="1"/>
  <c r="AG19" i="5"/>
  <c r="I27" i="7"/>
  <c r="F27" i="7"/>
  <c r="G27" i="7"/>
  <c r="H27" i="7" s="1"/>
  <c r="D27" i="7"/>
  <c r="E27" i="7"/>
  <c r="C27" i="7"/>
  <c r="AG18" i="5"/>
  <c r="I26" i="7"/>
  <c r="G26" i="7"/>
  <c r="F26" i="7"/>
  <c r="D26" i="7"/>
  <c r="E26" i="7"/>
  <c r="C26" i="7"/>
  <c r="I25" i="7"/>
  <c r="AG17" i="5"/>
  <c r="F25" i="7"/>
  <c r="E25" i="7"/>
  <c r="G25" i="7"/>
  <c r="C25" i="7"/>
  <c r="D25" i="7"/>
  <c r="I24" i="7"/>
  <c r="AG16" i="5"/>
  <c r="C24" i="7"/>
  <c r="F24" i="7"/>
  <c r="E24" i="7"/>
  <c r="G24" i="7"/>
  <c r="H24" i="7" s="1"/>
  <c r="D24" i="7"/>
  <c r="AG15" i="5"/>
  <c r="I23" i="7"/>
  <c r="C23" i="7"/>
  <c r="E23" i="7"/>
  <c r="G23" i="7"/>
  <c r="H23" i="7" s="1"/>
  <c r="D23" i="7"/>
  <c r="F23" i="7"/>
  <c r="AG14" i="5"/>
  <c r="F22" i="7" s="1"/>
  <c r="I22" i="7"/>
  <c r="G22" i="7"/>
  <c r="C22" i="7"/>
  <c r="D22" i="7"/>
  <c r="E22" i="7"/>
  <c r="AG13" i="5"/>
  <c r="I21" i="7"/>
  <c r="C21" i="7"/>
  <c r="G21" i="7"/>
  <c r="H21" i="7" s="1"/>
  <c r="F21" i="7"/>
  <c r="D21" i="7"/>
  <c r="E21" i="7"/>
  <c r="AG12" i="5"/>
  <c r="I20" i="7"/>
  <c r="E20" i="7"/>
  <c r="G20" i="7"/>
  <c r="H20" i="7" s="1"/>
  <c r="C20" i="7"/>
  <c r="F20" i="7"/>
  <c r="D20" i="7"/>
  <c r="AG11" i="5"/>
  <c r="C19" i="7" s="1"/>
  <c r="H19" i="7" s="1"/>
  <c r="I19" i="7"/>
  <c r="E19" i="7"/>
  <c r="D19" i="7"/>
  <c r="G19" i="7"/>
  <c r="F19" i="7"/>
  <c r="AG10" i="5"/>
  <c r="I18" i="7"/>
  <c r="E18" i="7"/>
  <c r="F18" i="7"/>
  <c r="G18" i="7"/>
  <c r="D18" i="7"/>
  <c r="C18" i="7"/>
  <c r="AG9" i="5"/>
  <c r="I17" i="7"/>
  <c r="C17" i="7"/>
  <c r="G17" i="7"/>
  <c r="H17" i="7" s="1"/>
  <c r="E17" i="7"/>
  <c r="D17" i="7"/>
  <c r="F17" i="7"/>
  <c r="AG8" i="5"/>
  <c r="I16" i="7"/>
  <c r="D16" i="7"/>
  <c r="G16" i="7"/>
  <c r="H16" i="7" s="1"/>
  <c r="F16" i="7"/>
  <c r="C16" i="7"/>
  <c r="E16" i="7"/>
  <c r="I15" i="7"/>
  <c r="AG7" i="5"/>
  <c r="C15" i="7"/>
  <c r="F15" i="7"/>
  <c r="E15" i="7"/>
  <c r="D15" i="7"/>
  <c r="G15" i="7"/>
  <c r="H15" i="7" s="1"/>
  <c r="I14" i="7"/>
  <c r="AG6" i="5"/>
  <c r="C14" i="7"/>
  <c r="E14" i="7"/>
  <c r="G14" i="7"/>
  <c r="H14" i="7" s="1"/>
  <c r="F14" i="7"/>
  <c r="D14" i="7"/>
  <c r="I13" i="7"/>
  <c r="AG5" i="5"/>
  <c r="AG5" i="4"/>
  <c r="AF5" i="4"/>
  <c r="AF5" i="5"/>
  <c r="AE5" i="4"/>
  <c r="AE5" i="5"/>
  <c r="AD5" i="4"/>
  <c r="AD5" i="5"/>
  <c r="AC5" i="4"/>
  <c r="AC5" i="5"/>
  <c r="AB5" i="4"/>
  <c r="AB5" i="5"/>
  <c r="AA5" i="4"/>
  <c r="AA5" i="5"/>
  <c r="Z5" i="4"/>
  <c r="Z5" i="5"/>
  <c r="Y5" i="4"/>
  <c r="Y5" i="5"/>
  <c r="X5" i="4"/>
  <c r="X5" i="5"/>
  <c r="W5" i="4"/>
  <c r="W5" i="5"/>
  <c r="V5" i="4"/>
  <c r="V5" i="5"/>
  <c r="U5" i="4"/>
  <c r="U5" i="5"/>
  <c r="T5" i="4"/>
  <c r="T5" i="5"/>
  <c r="S5" i="4"/>
  <c r="S5" i="5"/>
  <c r="R5" i="5"/>
  <c r="R5" i="4"/>
  <c r="Q5" i="4"/>
  <c r="Q5" i="5"/>
  <c r="P5" i="4"/>
  <c r="P5" i="5"/>
  <c r="O5" i="4"/>
  <c r="O5" i="5"/>
  <c r="N5" i="4"/>
  <c r="N5" i="5"/>
  <c r="M5" i="5"/>
  <c r="M5" i="4"/>
  <c r="L5" i="5"/>
  <c r="L5" i="4"/>
  <c r="K5" i="4"/>
  <c r="K5" i="5"/>
  <c r="J5" i="4"/>
  <c r="J5" i="5"/>
  <c r="I5" i="4"/>
  <c r="I5" i="5"/>
  <c r="H5" i="4"/>
  <c r="H5" i="5"/>
  <c r="G5" i="4"/>
  <c r="G5" i="5"/>
  <c r="F5" i="4"/>
  <c r="F5" i="5"/>
  <c r="E5" i="4"/>
  <c r="E5" i="5"/>
  <c r="D5" i="4"/>
  <c r="D5" i="5"/>
  <c r="C5" i="5"/>
  <c r="C5" i="4"/>
  <c r="B8" i="4"/>
  <c r="B6" i="1"/>
  <c r="F8" i="7" l="1"/>
  <c r="C8" i="7"/>
  <c r="C15" i="1" s="1"/>
  <c r="D8" i="7"/>
  <c r="B8" i="7"/>
  <c r="B15" i="1" s="1"/>
  <c r="D5" i="8"/>
  <c r="D38" i="8"/>
  <c r="E8" i="7"/>
  <c r="E15" i="1" s="1"/>
  <c r="L6" i="6"/>
  <c r="C15" i="8" s="1"/>
  <c r="K6" i="6"/>
  <c r="C14" i="8" s="1"/>
  <c r="J6" i="6"/>
  <c r="C13" i="8" s="1"/>
  <c r="I6" i="6"/>
  <c r="C12" i="8" s="1"/>
  <c r="H6" i="6"/>
  <c r="C11" i="8" s="1"/>
  <c r="C7" i="1"/>
  <c r="G6" i="6"/>
  <c r="C10" i="8" s="1"/>
  <c r="F6" i="6"/>
  <c r="C9" i="8" s="1"/>
  <c r="E6" i="6"/>
  <c r="C8" i="8" s="1"/>
  <c r="D6" i="6"/>
  <c r="C7" i="8" s="1"/>
  <c r="C6" i="6"/>
  <c r="B6" i="6"/>
  <c r="F33" i="7"/>
  <c r="D33" i="7"/>
  <c r="C33" i="7"/>
  <c r="G33" i="7"/>
  <c r="H33" i="7" s="1"/>
  <c r="E33" i="7"/>
  <c r="P12" i="9"/>
  <c r="O12" i="9" s="1"/>
  <c r="P18" i="9"/>
  <c r="O18" i="9" s="1"/>
  <c r="P21" i="9"/>
  <c r="O21" i="9" s="1"/>
  <c r="P9" i="9"/>
  <c r="O9" i="9" s="1"/>
  <c r="P13" i="9"/>
  <c r="O13" i="9" s="1"/>
  <c r="P20" i="9"/>
  <c r="O20" i="9" s="1"/>
  <c r="P26" i="9"/>
  <c r="O26" i="9" s="1"/>
  <c r="C21" i="1"/>
  <c r="B21" i="1" s="1"/>
  <c r="G21" i="1"/>
  <c r="F21" i="1" s="1"/>
  <c r="C22" i="1"/>
  <c r="B22" i="1" s="1"/>
  <c r="G22" i="1"/>
  <c r="F22" i="1" s="1"/>
  <c r="C23" i="1"/>
  <c r="B23" i="1" s="1"/>
  <c r="G23" i="1"/>
  <c r="F23" i="1" s="1"/>
  <c r="C24" i="1"/>
  <c r="B24" i="1" s="1"/>
  <c r="G24" i="1"/>
  <c r="F24" i="1" s="1"/>
  <c r="C25" i="1"/>
  <c r="B25" i="1" s="1"/>
  <c r="G25" i="1"/>
  <c r="F25" i="1" s="1"/>
  <c r="P16" i="9"/>
  <c r="O16" i="9" s="1"/>
  <c r="P25" i="9"/>
  <c r="O25" i="9" s="1"/>
  <c r="P23" i="9"/>
  <c r="O23" i="9" s="1"/>
  <c r="P6" i="9"/>
  <c r="O6" i="9" s="1"/>
  <c r="P10" i="9"/>
  <c r="O10" i="9" s="1"/>
  <c r="P15" i="9"/>
  <c r="O15" i="9" s="1"/>
  <c r="P22" i="9"/>
  <c r="O22" i="9" s="1"/>
  <c r="P7" i="9"/>
  <c r="O7" i="9" s="1"/>
  <c r="P11" i="9"/>
  <c r="O11" i="9" s="1"/>
  <c r="P19" i="9"/>
  <c r="O19" i="9" s="1"/>
  <c r="P27" i="9"/>
  <c r="O27" i="9" s="1"/>
  <c r="P8" i="9"/>
  <c r="O8" i="9" s="1"/>
  <c r="P14" i="9"/>
  <c r="O14" i="9" s="1"/>
  <c r="P17" i="9"/>
  <c r="O17" i="9" s="1"/>
  <c r="P24" i="9"/>
  <c r="O24" i="9" s="1"/>
  <c r="AF5" i="6"/>
  <c r="AG8" i="4"/>
  <c r="AG97" i="9" s="1"/>
  <c r="H6" i="7"/>
  <c r="H13" i="1" s="1"/>
  <c r="G6" i="1"/>
  <c r="AF8" i="4"/>
  <c r="AF97" i="9" s="1"/>
  <c r="AE5" i="6"/>
  <c r="AE8" i="4"/>
  <c r="AE97" i="9"/>
  <c r="AD5" i="6"/>
  <c r="AD8" i="4"/>
  <c r="AD97" i="9"/>
  <c r="AC5" i="6"/>
  <c r="AB5" i="6"/>
  <c r="AC8" i="4"/>
  <c r="AC97" i="9" s="1"/>
  <c r="F6" i="1"/>
  <c r="AB8" i="4"/>
  <c r="AB97" i="9"/>
  <c r="AA5" i="6"/>
  <c r="B30" i="8" s="1"/>
  <c r="AA8" i="4"/>
  <c r="AA97" i="9" s="1"/>
  <c r="Z5" i="6"/>
  <c r="B29" i="8" s="1"/>
  <c r="Y5" i="6"/>
  <c r="B28" i="8" s="1"/>
  <c r="Z8" i="4"/>
  <c r="Z97" i="9" s="1"/>
  <c r="X5" i="6"/>
  <c r="B27" i="8" s="1"/>
  <c r="Y8" i="4"/>
  <c r="Y97" i="9" s="1"/>
  <c r="W5" i="6"/>
  <c r="B26" i="8" s="1"/>
  <c r="X8" i="4"/>
  <c r="X97" i="9" s="1"/>
  <c r="V5" i="6"/>
  <c r="B25" i="8" s="1"/>
  <c r="W8" i="4"/>
  <c r="W97" i="9" s="1"/>
  <c r="U5" i="6"/>
  <c r="V8" i="4"/>
  <c r="V97" i="9" s="1"/>
  <c r="U8" i="4"/>
  <c r="U97" i="9" s="1"/>
  <c r="T5" i="6"/>
  <c r="S5" i="6"/>
  <c r="T8" i="4"/>
  <c r="T97" i="9" s="1"/>
  <c r="R5" i="6"/>
  <c r="S8" i="4"/>
  <c r="S97" i="9" s="1"/>
  <c r="Q5" i="6"/>
  <c r="B20" i="8" s="1"/>
  <c r="R8" i="4"/>
  <c r="R97" i="9" s="1"/>
  <c r="E6" i="1"/>
  <c r="Q8" i="4"/>
  <c r="Q97" i="9" s="1"/>
  <c r="P5" i="6"/>
  <c r="B19" i="8" s="1"/>
  <c r="D6" i="1"/>
  <c r="O5" i="6"/>
  <c r="B18" i="8" s="1"/>
  <c r="P8" i="4"/>
  <c r="P97" i="9" s="1"/>
  <c r="N5" i="6"/>
  <c r="B17" i="8" s="1"/>
  <c r="O8" i="4"/>
  <c r="O97" i="9" s="1"/>
  <c r="M5" i="6"/>
  <c r="B16" i="8" s="1"/>
  <c r="N8" i="4"/>
  <c r="N97" i="9" s="1"/>
  <c r="M8" i="4"/>
  <c r="L5" i="6"/>
  <c r="B15" i="8" s="1"/>
  <c r="K5" i="6"/>
  <c r="B14" i="8" s="1"/>
  <c r="L8" i="4"/>
  <c r="J5" i="6"/>
  <c r="B13" i="8" s="1"/>
  <c r="K8" i="4"/>
  <c r="I5" i="6"/>
  <c r="B12" i="8" s="1"/>
  <c r="J8" i="4"/>
  <c r="I8" i="4"/>
  <c r="H5" i="6"/>
  <c r="B11" i="8" s="1"/>
  <c r="C6" i="1"/>
  <c r="G5" i="6"/>
  <c r="B10" i="8" s="1"/>
  <c r="H8" i="4"/>
  <c r="G8" i="4"/>
  <c r="F5" i="6"/>
  <c r="B9" i="8" s="1"/>
  <c r="F8" i="4"/>
  <c r="E5" i="6"/>
  <c r="B8" i="8" s="1"/>
  <c r="D5" i="6"/>
  <c r="E8" i="4"/>
  <c r="C5" i="6"/>
  <c r="D8" i="4"/>
  <c r="C13" i="7"/>
  <c r="F13" i="7"/>
  <c r="E13" i="7"/>
  <c r="D13" i="7"/>
  <c r="G13" i="7"/>
  <c r="H13" i="7" s="1"/>
  <c r="B5" i="6"/>
  <c r="C8" i="4"/>
  <c r="D17" i="8"/>
  <c r="D16" i="8"/>
  <c r="D15" i="8"/>
  <c r="D14" i="8"/>
  <c r="H26" i="7"/>
  <c r="H25" i="7"/>
  <c r="H18" i="7"/>
  <c r="C30" i="8"/>
  <c r="C29" i="8"/>
  <c r="C28" i="8"/>
  <c r="C27" i="8"/>
  <c r="H22" i="7"/>
  <c r="H34" i="7"/>
  <c r="H30" i="7"/>
  <c r="H29" i="7"/>
  <c r="E29" i="7"/>
  <c r="F29" i="7"/>
  <c r="B36" i="8"/>
  <c r="C36" i="8"/>
  <c r="B98" i="9"/>
  <c r="B97" i="9"/>
  <c r="G8" i="7" l="1"/>
  <c r="G15" i="1" s="1"/>
  <c r="F15" i="1"/>
  <c r="I8" i="7"/>
  <c r="D15" i="1"/>
  <c r="F7" i="7"/>
  <c r="C5" i="8"/>
  <c r="C7" i="7"/>
  <c r="C14" i="1" s="1"/>
  <c r="E7" i="7"/>
  <c r="E14" i="1" s="1"/>
  <c r="D37" i="8"/>
  <c r="D7" i="7"/>
  <c r="B7" i="7"/>
  <c r="B14" i="1" s="1"/>
  <c r="AG98" i="9"/>
  <c r="AG99" i="9"/>
  <c r="AF98" i="9"/>
  <c r="AF99" i="9"/>
  <c r="AE98" i="9"/>
  <c r="AE99" i="9"/>
  <c r="AD98" i="9"/>
  <c r="AD99" i="9"/>
  <c r="AC98" i="9"/>
  <c r="AC99" i="9"/>
  <c r="AB99" i="9"/>
  <c r="AB98" i="9"/>
  <c r="AA99" i="9"/>
  <c r="AA98" i="9"/>
  <c r="Z99" i="9"/>
  <c r="Z98" i="9"/>
  <c r="Y99" i="9"/>
  <c r="Y98" i="9"/>
  <c r="X99" i="9"/>
  <c r="X98" i="9"/>
  <c r="W99" i="9"/>
  <c r="W98" i="9"/>
  <c r="V99" i="9"/>
  <c r="V98" i="9"/>
  <c r="U99" i="9"/>
  <c r="U98" i="9"/>
  <c r="T99" i="9"/>
  <c r="T98" i="9"/>
  <c r="S99" i="9"/>
  <c r="S98" i="9"/>
  <c r="R99" i="9"/>
  <c r="R98" i="9"/>
  <c r="Q99" i="9"/>
  <c r="Q98" i="9"/>
  <c r="P99" i="9"/>
  <c r="P98" i="9"/>
  <c r="O98" i="9"/>
  <c r="O99" i="9"/>
  <c r="N98" i="9"/>
  <c r="N99" i="9"/>
  <c r="E6" i="7"/>
  <c r="E13" i="1" s="1"/>
  <c r="B6" i="7"/>
  <c r="B13" i="1" s="1"/>
  <c r="D6" i="7"/>
  <c r="C6" i="7"/>
  <c r="C13" i="1" s="1"/>
  <c r="B5" i="8"/>
  <c r="D36" i="8"/>
  <c r="F6" i="7"/>
  <c r="C6" i="8"/>
  <c r="B31" i="8"/>
  <c r="B24" i="8"/>
  <c r="B23" i="8"/>
  <c r="B22" i="8"/>
  <c r="B21" i="8"/>
  <c r="B7" i="8"/>
  <c r="B6" i="8"/>
  <c r="M99" i="9"/>
  <c r="M98" i="9"/>
  <c r="M97" i="9"/>
  <c r="L99" i="9"/>
  <c r="L98" i="9"/>
  <c r="L97" i="9"/>
  <c r="K99" i="9"/>
  <c r="K98" i="9"/>
  <c r="K97" i="9"/>
  <c r="J99" i="9"/>
  <c r="J97" i="9"/>
  <c r="J98" i="9"/>
  <c r="I99" i="9"/>
  <c r="I97" i="9"/>
  <c r="I98" i="9"/>
  <c r="H99" i="9"/>
  <c r="H98" i="9"/>
  <c r="H97" i="9"/>
  <c r="G99" i="9"/>
  <c r="G98" i="9"/>
  <c r="G97" i="9"/>
  <c r="F99" i="9"/>
  <c r="F98" i="9"/>
  <c r="F97" i="9"/>
  <c r="E99" i="9"/>
  <c r="E98" i="9"/>
  <c r="E97" i="9"/>
  <c r="D99" i="9"/>
  <c r="D98" i="9"/>
  <c r="D97" i="9"/>
  <c r="C99" i="9"/>
  <c r="C98" i="9"/>
  <c r="C97" i="9"/>
  <c r="F14" i="1" l="1"/>
  <c r="G7" i="7"/>
  <c r="G14" i="1" s="1"/>
  <c r="I7" i="7"/>
  <c r="D14" i="1"/>
  <c r="I6" i="7"/>
  <c r="D13" i="1"/>
  <c r="G6" i="7"/>
  <c r="G13" i="1" s="1"/>
  <c r="F13" i="1"/>
</calcChain>
</file>

<file path=xl/sharedStrings.xml><?xml version="1.0" encoding="utf-8"?>
<sst xmlns="http://schemas.openxmlformats.org/spreadsheetml/2006/main" count="473" uniqueCount="133">
  <si>
    <t>RESUMEN — PIB Eurozona / EEUU / Reino Unido (1993-2024)</t>
  </si>
  <si>
    <t>Datos en millones de € constantes de 2015. Año base de precios: 2015. Conversión USD→EUR al tipo medio BCE 2015 (1,1095 USD/EUR).</t>
  </si>
  <si>
    <t>Tabla 1. PIB de cada bloque en años clave (millones de €)</t>
  </si>
  <si>
    <t>Bloque</t>
  </si>
  <si>
    <t>1993</t>
  </si>
  <si>
    <t>2000</t>
  </si>
  <si>
    <t>2008</t>
  </si>
  <si>
    <t>2009</t>
  </si>
  <si>
    <t>2020</t>
  </si>
  <si>
    <t>2024</t>
  </si>
  <si>
    <t>Eurozona</t>
  </si>
  <si>
    <t>EEUU</t>
  </si>
  <si>
    <t>UK</t>
  </si>
  <si>
    <t>Tabla 2. Estadísticos del crecimiento interanual (1994-2024)</t>
  </si>
  <si>
    <t>Media</t>
  </si>
  <si>
    <t>Mediana</t>
  </si>
  <si>
    <t>Máximo</t>
  </si>
  <si>
    <t>Mínimo</t>
  </si>
  <si>
    <t>Desv. típica</t>
  </si>
  <si>
    <t>Coef. var.</t>
  </si>
  <si>
    <t>CAGR 93-24</t>
  </si>
  <si>
    <t>Tabla 3. Ranking de países por CAGR 1993-2024</t>
  </si>
  <si>
    <t>Top 5 mayor crecimiento</t>
  </si>
  <si>
    <t>Bottom 5 menor crecimiento</t>
  </si>
  <si>
    <t>Rank</t>
  </si>
  <si>
    <t>País</t>
  </si>
  <si>
    <t>CAGR</t>
  </si>
  <si>
    <t>Leyenda de colores (estándar de modelos financieros):</t>
  </si>
  <si>
    <t>Azul: input numérico hardcoded</t>
  </si>
  <si>
    <t>Negro: fórmula intra-hoja</t>
  </si>
  <si>
    <t>Verde: fórmula que referencia a otra hoja</t>
  </si>
  <si>
    <t>PIB - USD constantes de 2015 (fuente: Banco Mundial)</t>
  </si>
  <si>
    <t>Periodo: 1993-2024. Datos descargados a partir de la hoja "PIB $2015 Constante" del archivo original.</t>
  </si>
  <si>
    <t>Código</t>
  </si>
  <si>
    <t>1994</t>
  </si>
  <si>
    <t>1995</t>
  </si>
  <si>
    <t>1996</t>
  </si>
  <si>
    <t>1997</t>
  </si>
  <si>
    <t>1998</t>
  </si>
  <si>
    <t>1999</t>
  </si>
  <si>
    <t>2001</t>
  </si>
  <si>
    <t>2002</t>
  </si>
  <si>
    <t>2003</t>
  </si>
  <si>
    <t>2004</t>
  </si>
  <si>
    <t>2005</t>
  </si>
  <si>
    <t>2006</t>
  </si>
  <si>
    <t>2007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</si>
  <si>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</si>
  <si>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</si>
  <si>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</si>
  <si>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</si>
  <si>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</si>
  <si>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</si>
  <si>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</si>
  <si>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</si>
  <si>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</si>
  <si>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</si>
  <si>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2021</t>
  </si>
  <si>
    <t>2022</t>
  </si>
  <si>
    <t>2023</t>
  </si>
  <si>
    <t>Alemania</t>
  </si>
  <si>
    <t>DEU</t>
  </si>
  <si>
    <t>Austria</t>
  </si>
  <si>
    <t>AUT</t>
  </si>
  <si>
    <t>Bélgica</t>
  </si>
  <si>
    <t>BEL</t>
  </si>
  <si>
    <t>Chipre</t>
  </si>
  <si>
    <t>CYP</t>
  </si>
  <si>
    <t>Croacia</t>
  </si>
  <si>
    <t>HRV</t>
  </si>
  <si>
    <t>Eslovaquia</t>
  </si>
  <si>
    <t>SVK</t>
  </si>
  <si>
    <t>Eslovenia</t>
  </si>
  <si>
    <t>SVN</t>
  </si>
  <si>
    <t>España</t>
  </si>
  <si>
    <t>ESP</t>
  </si>
  <si>
    <t>Estonia</t>
  </si>
  <si>
    <t>EST</t>
  </si>
  <si>
    <t>Finlandia</t>
  </si>
  <si>
    <t>FIN</t>
  </si>
  <si>
    <t>Francia</t>
  </si>
  <si>
    <t>FRA</t>
  </si>
  <si>
    <t>Grecia</t>
  </si>
  <si>
    <t>GRC</t>
  </si>
  <si>
    <t>Irlanda</t>
  </si>
  <si>
    <t>IRL</t>
  </si>
  <si>
    <t>Italia</t>
  </si>
  <si>
    <t>ITA</t>
  </si>
  <si>
    <t>Letonia</t>
  </si>
  <si>
    <t>LVA</t>
  </si>
  <si>
    <t>Lituania</t>
  </si>
  <si>
    <t>LTU</t>
  </si>
  <si>
    <t>Luxemburgo</t>
  </si>
  <si>
    <t>LUX</t>
  </si>
  <si>
    <t>Malta</t>
  </si>
  <si>
    <t>MLT</t>
  </si>
  <si>
    <t>Países Bajos</t>
  </si>
  <si>
    <t>NLD</t>
  </si>
  <si>
    <t>Portugal</t>
  </si>
  <si>
    <t>PRT</t>
  </si>
  <si>
    <t>USA</t>
  </si>
  <si>
    <t>Reino Unido</t>
  </si>
  <si>
    <t>GBR</t>
  </si>
  <si>
    <t>Tipo de cambio aplicado</t>
  </si>
  <si>
    <t>USD/EUR 2015</t>
  </si>
  <si>
    <t>Fuente: BCE (media anual 2015 de la referencia diaria EUR/USD)</t>
  </si>
  <si>
    <t>PIB país por país - millones de € constantes de 2015</t>
  </si>
  <si>
    <t>Conversión = (USD constantes 2015) / (tipo de cambio 2015 USD/EUR) / 1.000.000. Periodo 1993-2024.</t>
  </si>
  <si>
    <t>PIB agregado por bloque - millones de € constantes de 2015</t>
  </si>
  <si>
    <t>Eurozona = suma de los 20 países; EEUU y UK como series individuales. Cálculo mediante SUMAR.SI sobre Datos_EUR_Paises.</t>
  </si>
  <si>
    <t>TOTAL Eurozona+EEUU+UK</t>
  </si>
  <si>
    <t>Crecimiento interanual del PIB país por país (% año t respecto a t-1)</t>
  </si>
  <si>
    <t>Fórmula: (PIB_t / PIB_t-1) - 1. Calculado sobre Datos_EUR_Paises. No hay tasa para 1993 (es el año inicial).</t>
  </si>
  <si>
    <t>Crecimiento interanual del PIB por bloque económico</t>
  </si>
  <si>
    <t>Fórmula: (PIB_t / PIB_t-1) - 1. Calculado sobre Bloques_EUR.</t>
  </si>
  <si>
    <t>Estadísticos del crecimiento interanual del PIB (1994-2024)</t>
  </si>
  <si>
    <t>Sobre las series de Crecimiento_Bloques y Crecimiento_Paises. CV = Desv.típica / |Media|. CAGR = (PIB_2024/PIB_1993)^(1/31)-1.</t>
  </si>
  <si>
    <t>A. Por bloques agregados</t>
  </si>
  <si>
    <t>Coef. variación</t>
  </si>
  <si>
    <t>CAGR 1993-2024</t>
  </si>
  <si>
    <t>Recorrido</t>
  </si>
  <si>
    <t>B. País por país</t>
  </si>
  <si>
    <t>Volatilidad del crecimiento: desv. típica móvil de 5 años por bloque</t>
  </si>
  <si>
    <t>Desv. típica calculada sobre los crecimientos de los 5 años terminados en el año indicado. Primer dato disponible: 1998.</t>
  </si>
  <si>
    <t>Año</t>
  </si>
  <si>
    <t>Drawdown máximo del PIB (caída acumulada respecto a pico previo)</t>
  </si>
  <si>
    <t>PIB máximo (M€)</t>
  </si>
  <si>
    <t>PIB mínimo posterior (M€)</t>
  </si>
  <si>
    <t>Peor caída anual</t>
  </si>
  <si>
    <t>Gráficas — PIB Eurozona/EEUU/UK 1993-2024</t>
  </si>
  <si>
    <t>Todas las series enlazan dinámicamente a las hojas de cálculo correspondientes.</t>
  </si>
  <si>
    <t>Ranking de países por CAGR 1993-2024</t>
  </si>
  <si>
    <t>Cuota relativa de cada bloque sobre el total (cálculo auxiliar)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</si>
</sst>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%"/>
  </numFmts>
  <fonts count="10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9"/>
      <color rgb="FF666666"/>
      <name val="Arial"/>
      <charset val="1"/>
    </font>
    <font>
      <b/>
      <sz val="10"/>
      <name val="Arial"/>
      <charset val="1"/>
    </font>
    <font>
      <b/>
      <sz val="10"/>
      <color rgb="FFFFFFFF"/>
      <name val="Arial"/>
      <charset val="1"/>
    </font>
    <font>
      <sz val="10"/>
      <color rgb="FF008000"/>
      <name val="Arial"/>
      <charset val="1"/>
    </font>
    <font>
      <sz val="10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11"/>
      <color rgb="FF1F4E78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3" fillId="2" borderId="0" xfId="0" applyFont="1" applyFill="1"/>
    <xf numFmtId="0" fontId="2" fillId="0" borderId="0" xfId="0" applyFont="1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10" fontId="5" fillId="0" borderId="0" xfId="0" applyNumberFormat="1" applyFont="1" applyAlignment="1">
      <alignment horizontal="right" vertical="center"/>
    </xf>
    <xf numFmtId="164" fontId="5" fillId="0" borderId="0" xfId="0" applyNumberFormat="1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0" xfId="0" applyFont="1"/>
    <xf numFmtId="0" fontId="7" fillId="0" borderId="0" xfId="0" applyFont="1"/>
    <xf numFmtId="0" fontId="8" fillId="0" borderId="0" xfId="0" applyFont="1"/>
    <xf numFmtId="0" fontId="5" fillId="0" borderId="0" xfId="0" applyFont="1"/>
    <xf numFmtId="0" fontId="6" fillId="0" borderId="0" xfId="0" applyFont="1" applyAlignment="1">
      <alignment horizontal="left" vertical="center"/>
    </xf>
    <xf numFmtId="3" fontId="7" fillId="0" borderId="0" xfId="0" applyNumberFormat="1" applyFont="1" applyAlignment="1">
      <alignment horizontal="right" vertical="center"/>
    </xf>
    <xf numFmtId="0" fontId="6" fillId="0" borderId="0" xfId="0" applyFont="1"/>
    <xf numFmtId="165" fontId="7" fillId="0" borderId="0" xfId="0" applyNumberFormat="1" applyFont="1"/>
    <xf numFmtId="0" fontId="3" fillId="2" borderId="0" xfId="0" applyFont="1" applyFill="1" applyAlignment="1">
      <alignment horizontal="left" vertical="center"/>
    </xf>
    <xf numFmtId="3" fontId="8" fillId="0" borderId="0" xfId="0" applyNumberFormat="1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10" fontId="8" fillId="0" borderId="0" xfId="0" applyNumberFormat="1" applyFont="1" applyAlignment="1">
      <alignment horizontal="right" vertical="center"/>
    </xf>
    <xf numFmtId="0" fontId="9" fillId="0" borderId="0" xfId="0" applyFont="1"/>
    <xf numFmtId="0" fontId="4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0" fontId="5" fillId="0" borderId="0" xfId="0" applyNumberFormat="1" applyFont="1" applyAlignment="1">
      <alignment horizontal="right"/>
    </xf>
    <xf numFmtId="166" fontId="5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00B050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PIB real de los tres bloques (1993-2024, M€ constantes de 2015)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Bloques_EUR!$A$5</c:f>
              <c:strCache>
                <c:ptCount val="1"/>
                <c:pt idx="0">
                  <c:v>Eurozona</c:v>
                </c:pt>
              </c:strCache>
            </c:strRef>
          </c:tx>
          <c:spPr>
            <a:ln w="2196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Bloques_EUR!$B$4:$AG$4</c:f>
              <c:strCach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strCache>
            </c:strRef>
          </c:cat>
          <c:val>
            <c:numRef>
              <c:f>Bloques_EUR!$B$5:$AG$5</c:f>
              <c:numCache>
                <c:formatCode>#,##0</c:formatCode>
                <c:ptCount val="32"/>
                <c:pt idx="0">
                  <c:v>7482430.4592251945</c:v>
                </c:pt>
                <c:pt idx="1">
                  <c:v>7670633.9140619878</c:v>
                </c:pt>
                <c:pt idx="2">
                  <c:v>7860051.6289772158</c:v>
                </c:pt>
                <c:pt idx="3">
                  <c:v>7997036.5105953068</c:v>
                </c:pt>
                <c:pt idx="4">
                  <c:v>8218063.911974173</c:v>
                </c:pt>
                <c:pt idx="5">
                  <c:v>8464643.9836311731</c:v>
                </c:pt>
                <c:pt idx="6">
                  <c:v>8719424.9471928198</c:v>
                </c:pt>
                <c:pt idx="7">
                  <c:v>9059605.7763579991</c:v>
                </c:pt>
                <c:pt idx="8">
                  <c:v>9257567.0909518916</c:v>
                </c:pt>
                <c:pt idx="9">
                  <c:v>9345214.6680351906</c:v>
                </c:pt>
                <c:pt idx="10">
                  <c:v>9415601.9966625068</c:v>
                </c:pt>
                <c:pt idx="11">
                  <c:v>9633278.9100915994</c:v>
                </c:pt>
                <c:pt idx="12">
                  <c:v>9803948.5500199702</c:v>
                </c:pt>
                <c:pt idx="13">
                  <c:v>10129887.815853016</c:v>
                </c:pt>
                <c:pt idx="14">
                  <c:v>10434915.805179674</c:v>
                </c:pt>
                <c:pt idx="15">
                  <c:v>10477754.395092759</c:v>
                </c:pt>
                <c:pt idx="16">
                  <c:v>10008061.154999103</c:v>
                </c:pt>
                <c:pt idx="17">
                  <c:v>10220055.038102012</c:v>
                </c:pt>
                <c:pt idx="18">
                  <c:v>10401721.087902013</c:v>
                </c:pt>
                <c:pt idx="19">
                  <c:v>10305936.136569526</c:v>
                </c:pt>
                <c:pt idx="20">
                  <c:v>10288753.576870605</c:v>
                </c:pt>
                <c:pt idx="21">
                  <c:v>10438545.015565898</c:v>
                </c:pt>
                <c:pt idx="22">
                  <c:v>10662311.269297933</c:v>
                </c:pt>
                <c:pt idx="23">
                  <c:v>10854401.456907991</c:v>
                </c:pt>
                <c:pt idx="24">
                  <c:v>11139071.801348874</c:v>
                </c:pt>
                <c:pt idx="25">
                  <c:v>11337337.400036369</c:v>
                </c:pt>
                <c:pt idx="26">
                  <c:v>11521300.643134752</c:v>
                </c:pt>
                <c:pt idx="27">
                  <c:v>10823484.928846417</c:v>
                </c:pt>
                <c:pt idx="28">
                  <c:v>11520207.541946007</c:v>
                </c:pt>
                <c:pt idx="29">
                  <c:v>11941757.193197718</c:v>
                </c:pt>
                <c:pt idx="30">
                  <c:v>11998290.131201208</c:v>
                </c:pt>
                <c:pt idx="31">
                  <c:v>12107703.757614478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9F-41BB-B55B-B14DEC3B439A}"/>
            </c:ext>
          </c:extLst>
        </c:ser>
        <c:ser>
          <c:idx val="1"/>
          <c:order val="1"/>
          <c:tx>
            <c:strRef>
              <c:f>Bloques_EUR!$A$6</c:f>
              <c:strCache>
                <c:ptCount val="1"/>
                <c:pt idx="0">
                  <c:v>EEUU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Bloques_EUR!$B$4:$AG$4</c:f>
              <c:strCach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strCache>
            </c:strRef>
          </c:cat>
          <c:val>
            <c:numRef>
              <c:f>Bloques_EUR!$B$6:$AG$6</c:f>
              <c:numCache>
                <c:formatCode>#,##0</c:formatCode>
                <c:ptCount val="32"/>
                <c:pt idx="0">
                  <c:v>9325664.0222168546</c:v>
                </c:pt>
                <c:pt idx="1">
                  <c:v>9701397.1453799028</c:v>
                </c:pt>
                <c:pt idx="2">
                  <c:v>9961824.4317624159</c:v>
                </c:pt>
                <c:pt idx="3">
                  <c:v>10337661.423468679</c:v>
                </c:pt>
                <c:pt idx="4">
                  <c:v>10797390.452526184</c:v>
                </c:pt>
                <c:pt idx="5">
                  <c:v>11281451.865237584</c:v>
                </c:pt>
                <c:pt idx="6">
                  <c:v>11821655.732046328</c:v>
                </c:pt>
                <c:pt idx="7">
                  <c:v>12303693.882397477</c:v>
                </c:pt>
                <c:pt idx="8">
                  <c:v>12421260.395706354</c:v>
                </c:pt>
                <c:pt idx="9">
                  <c:v>12632477.386014963</c:v>
                </c:pt>
                <c:pt idx="10">
                  <c:v>12985631.677118434</c:v>
                </c:pt>
                <c:pt idx="11">
                  <c:v>13485289.137281481</c:v>
                </c:pt>
                <c:pt idx="12">
                  <c:v>13955055.918332761</c:v>
                </c:pt>
                <c:pt idx="13">
                  <c:v>14343639.981675442</c:v>
                </c:pt>
                <c:pt idx="14">
                  <c:v>14631066.201661922</c:v>
                </c:pt>
                <c:pt idx="15">
                  <c:v>14647685.227388734</c:v>
                </c:pt>
                <c:pt idx="16">
                  <c:v>14270287.583876342</c:v>
                </c:pt>
                <c:pt idx="17">
                  <c:v>14654899.315617036</c:v>
                </c:pt>
                <c:pt idx="18">
                  <c:v>14884161.565490041</c:v>
                </c:pt>
                <c:pt idx="19">
                  <c:v>15224876.900383508</c:v>
                </c:pt>
                <c:pt idx="20">
                  <c:v>15547313.925748086</c:v>
                </c:pt>
                <c:pt idx="21">
                  <c:v>15939700.115094909</c:v>
                </c:pt>
                <c:pt idx="22">
                  <c:v>16409212.024335288</c:v>
                </c:pt>
                <c:pt idx="23">
                  <c:v>16707769.675020821</c:v>
                </c:pt>
                <c:pt idx="24">
                  <c:v>17118383.548140336</c:v>
                </c:pt>
                <c:pt idx="25">
                  <c:v>17626201.263829023</c:v>
                </c:pt>
                <c:pt idx="26">
                  <c:v>18081631.517528258</c:v>
                </c:pt>
                <c:pt idx="27">
                  <c:v>17690520.558751334</c:v>
                </c:pt>
                <c:pt idx="28">
                  <c:v>18761690.942608833</c:v>
                </c:pt>
                <c:pt idx="29">
                  <c:v>19233055.035439387</c:v>
                </c:pt>
                <c:pt idx="30">
                  <c:v>19788420.271539975</c:v>
                </c:pt>
                <c:pt idx="31">
                  <c:v>20341111.102455433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9F-41BB-B55B-B14DEC3B439A}"/>
            </c:ext>
          </c:extLst>
        </c:ser>
        <c:ser>
          <c:idx val="2"/>
          <c:order val="2"/>
          <c:tx>
            <c:strRef>
              <c:f>Bloques_EUR!$A$7</c:f>
              <c:strCache>
                <c:ptCount val="1"/>
                <c:pt idx="0">
                  <c:v>UK</c:v>
                </c:pt>
              </c:strCache>
            </c:strRef>
          </c:tx>
          <c:spPr>
            <a:ln w="219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Bloques_EUR!$B$4:$AG$4</c:f>
              <c:strCach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strCache>
            </c:strRef>
          </c:cat>
          <c:val>
            <c:numRef>
              <c:f>Bloques_EUR!$B$7:$AG$7</c:f>
              <c:numCache>
                <c:formatCode>#,##0</c:formatCode>
                <c:ptCount val="32"/>
                <c:pt idx="0">
                  <c:v>1605530.0896759082</c:v>
                </c:pt>
                <c:pt idx="1">
                  <c:v>1685058.5925903562</c:v>
                </c:pt>
                <c:pt idx="2">
                  <c:v>1744598.3006286074</c:v>
                </c:pt>
                <c:pt idx="3">
                  <c:v>1790218.0819398831</c:v>
                </c:pt>
                <c:pt idx="4">
                  <c:v>1877580.4612445608</c:v>
                </c:pt>
                <c:pt idx="5">
                  <c:v>1938532.6341809013</c:v>
                </c:pt>
                <c:pt idx="6">
                  <c:v>1995611.926952231</c:v>
                </c:pt>
                <c:pt idx="7">
                  <c:v>2085901.0087822264</c:v>
                </c:pt>
                <c:pt idx="8">
                  <c:v>2135775.3669752865</c:v>
                </c:pt>
                <c:pt idx="9">
                  <c:v>2172276.3524002614</c:v>
                </c:pt>
                <c:pt idx="10">
                  <c:v>2242191.4171186667</c:v>
                </c:pt>
                <c:pt idx="11">
                  <c:v>2294345.2050320148</c:v>
                </c:pt>
                <c:pt idx="12">
                  <c:v>2358372.4577312572</c:v>
                </c:pt>
                <c:pt idx="13">
                  <c:v>2410016.6007137001</c:v>
                </c:pt>
                <c:pt idx="14">
                  <c:v>2480652.0504592429</c:v>
                </c:pt>
                <c:pt idx="15">
                  <c:v>2479426.3187862462</c:v>
                </c:pt>
                <c:pt idx="16">
                  <c:v>2365684.9127171161</c:v>
                </c:pt>
                <c:pt idx="17">
                  <c:v>2419162.2754849484</c:v>
                </c:pt>
                <c:pt idx="18">
                  <c:v>2439759.9360665614</c:v>
                </c:pt>
                <c:pt idx="19">
                  <c:v>2477045.8197367913</c:v>
                </c:pt>
                <c:pt idx="20">
                  <c:v>2519613.0994511582</c:v>
                </c:pt>
                <c:pt idx="21">
                  <c:v>2599237.2452924559</c:v>
                </c:pt>
                <c:pt idx="22">
                  <c:v>2654871.4648566563</c:v>
                </c:pt>
                <c:pt idx="23">
                  <c:v>2713451.740181433</c:v>
                </c:pt>
                <c:pt idx="24">
                  <c:v>2795485.415533565</c:v>
                </c:pt>
                <c:pt idx="25">
                  <c:v>2838852.6460094908</c:v>
                </c:pt>
                <c:pt idx="26">
                  <c:v>2874517.1233448852</c:v>
                </c:pt>
                <c:pt idx="27">
                  <c:v>2585688.613967923</c:v>
                </c:pt>
                <c:pt idx="28">
                  <c:v>2806586.8842310505</c:v>
                </c:pt>
                <c:pt idx="29">
                  <c:v>2951117.7980506443</c:v>
                </c:pt>
                <c:pt idx="30">
                  <c:v>2959134.510976071</c:v>
                </c:pt>
                <c:pt idx="31">
                  <c:v>2992466.8729586485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9F-41BB-B55B-B14DEC3B4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988026"/>
        <c:axId val="97123087"/>
      </c:lineChart>
      <c:catAx>
        <c:axId val="359880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7123087"/>
        <c:crosses val="autoZero"/>
        <c:auto val="1"/>
        <c:lblAlgn val="ctr"/>
        <c:lblOffset val="100"/>
        <c:noMultiLvlLbl val="0"/>
      </c:catAx>
      <c:valAx>
        <c:axId val="9712308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PIB (millones de €)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59880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Crecimiento interanual del PIB por bloque (1994-2024)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Crecimiento_Bloques!$A$5</c:f>
              <c:strCache>
                <c:ptCount val="1"/>
                <c:pt idx="0">
                  <c:v>Eurozona</c:v>
                </c:pt>
              </c:strCache>
            </c:strRef>
          </c:tx>
          <c:spPr>
            <a:ln w="2196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Crecimiento_Bloques!$B$4:$AF$4</c:f>
              <c:strCach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strCache>
            </c:strRef>
          </c:cat>
          <c:val>
            <c:numRef>
              <c:f>Crecimiento_Bloques!$B$5:$AF$5</c:f>
              <c:numCache>
                <c:formatCode>0.00%</c:formatCode>
                <c:ptCount val="31"/>
                <c:pt idx="0">
                  <c:v>2.5152716869524028E-2</c:v>
                </c:pt>
                <c:pt idx="1">
                  <c:v>2.4693880197826035E-2</c:v>
                </c:pt>
                <c:pt idx="2">
                  <c:v>1.742798751004071E-2</c:v>
                </c:pt>
                <c:pt idx="3">
                  <c:v>2.7638663533175789E-2</c:v>
                </c:pt>
                <c:pt idx="4">
                  <c:v>3.0004642735586229E-2</c:v>
                </c:pt>
                <c:pt idx="5">
                  <c:v>3.0099430531790761E-2</c:v>
                </c:pt>
                <c:pt idx="6">
                  <c:v>3.9014135820355733E-2</c:v>
                </c:pt>
                <c:pt idx="7">
                  <c:v>2.1850985515340371E-2</c:v>
                </c:pt>
                <c:pt idx="8">
                  <c:v>9.4676685809778061E-3</c:v>
                </c:pt>
                <c:pt idx="9">
                  <c:v>7.5319113715035524E-3</c:v>
                </c:pt>
                <c:pt idx="10">
                  <c:v>2.3118746258205425E-2</c:v>
                </c:pt>
                <c:pt idx="11">
                  <c:v>1.7716671708693177E-2</c:v>
                </c:pt>
                <c:pt idx="12">
                  <c:v>3.3245713619374451E-2</c:v>
                </c:pt>
                <c:pt idx="13">
                  <c:v>3.0111684835176122E-2</c:v>
                </c:pt>
                <c:pt idx="14">
                  <c:v>4.1053124637402405E-3</c:v>
                </c:pt>
                <c:pt idx="15">
                  <c:v>-4.4827662720710038E-2</c:v>
                </c:pt>
                <c:pt idx="16">
                  <c:v>2.118231291952255E-2</c:v>
                </c:pt>
                <c:pt idx="17">
                  <c:v>1.7775447306567438E-2</c:v>
                </c:pt>
                <c:pt idx="18">
                  <c:v>-9.2085675556030644E-3</c:v>
                </c:pt>
                <c:pt idx="19">
                  <c:v>-1.6672488041091782E-3</c:v>
                </c:pt>
                <c:pt idx="20">
                  <c:v>1.455875462233136E-2</c:v>
                </c:pt>
                <c:pt idx="21">
                  <c:v>2.1436536739397605E-2</c:v>
                </c:pt>
                <c:pt idx="22">
                  <c:v>1.8015811277539928E-2</c:v>
                </c:pt>
                <c:pt idx="23">
                  <c:v>2.622625904993714E-2</c:v>
                </c:pt>
                <c:pt idx="24">
                  <c:v>1.7799113087993979E-2</c:v>
                </c:pt>
                <c:pt idx="25">
                  <c:v>1.6226318103384152E-2</c:v>
                </c:pt>
                <c:pt idx="26">
                  <c:v>-6.0567442505212843E-2</c:v>
                </c:pt>
                <c:pt idx="27">
                  <c:v>6.4371375548619048E-2</c:v>
                </c:pt>
                <c:pt idx="28">
                  <c:v>3.6592192433757331E-2</c:v>
                </c:pt>
                <c:pt idx="29">
                  <c:v>4.7340552222658872E-3</c:v>
                </c:pt>
                <c:pt idx="30">
                  <c:v>9.1191015733769198E-3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06-4472-90D5-A573DFC1C1FC}"/>
            </c:ext>
          </c:extLst>
        </c:ser>
        <c:ser>
          <c:idx val="1"/>
          <c:order val="1"/>
          <c:tx>
            <c:strRef>
              <c:f>Crecimiento_Bloques!$A$6</c:f>
              <c:strCache>
                <c:ptCount val="1"/>
                <c:pt idx="0">
                  <c:v>EEUU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Crecimiento_Bloques!$B$4:$AF$4</c:f>
              <c:strCach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strCache>
            </c:strRef>
          </c:cat>
          <c:val>
            <c:numRef>
              <c:f>Crecimiento_Bloques!$B$6:$AF$6</c:f>
              <c:numCache>
                <c:formatCode>0.00%</c:formatCode>
                <c:ptCount val="31"/>
                <c:pt idx="0">
                  <c:v>4.0290227298337866E-2</c:v>
                </c:pt>
                <c:pt idx="1">
                  <c:v>2.6844307317790417E-2</c:v>
                </c:pt>
                <c:pt idx="2">
                  <c:v>3.7727726911943815E-2</c:v>
                </c:pt>
                <c:pt idx="3">
                  <c:v>4.4471279356646631E-2</c:v>
                </c:pt>
                <c:pt idx="4">
                  <c:v>4.4831333537461271E-2</c:v>
                </c:pt>
                <c:pt idx="5">
                  <c:v>4.7884250472522538E-2</c:v>
                </c:pt>
                <c:pt idx="6">
                  <c:v>4.0775857568278839E-2</c:v>
                </c:pt>
                <c:pt idx="7">
                  <c:v>9.5553834834167795E-3</c:v>
                </c:pt>
                <c:pt idx="8">
                  <c:v>1.7004473264373487E-2</c:v>
                </c:pt>
                <c:pt idx="9">
                  <c:v>2.7956059632011421E-2</c:v>
                </c:pt>
                <c:pt idx="10">
                  <c:v>3.8477716955693353E-2</c:v>
                </c:pt>
                <c:pt idx="11">
                  <c:v>3.4835499355557742E-2</c:v>
                </c:pt>
                <c:pt idx="12">
                  <c:v>2.784539636506933E-2</c:v>
                </c:pt>
                <c:pt idx="13">
                  <c:v>2.0038582978496144E-2</c:v>
                </c:pt>
                <c:pt idx="14">
                  <c:v>1.1358724988150826E-3</c:v>
                </c:pt>
                <c:pt idx="15">
                  <c:v>-2.5765002295838668E-2</c:v>
                </c:pt>
                <c:pt idx="16">
                  <c:v>2.695192577445038E-2</c:v>
                </c:pt>
                <c:pt idx="17">
                  <c:v>1.5644068576349035E-2</c:v>
                </c:pt>
                <c:pt idx="18">
                  <c:v>2.2891133866985047E-2</c:v>
                </c:pt>
                <c:pt idx="19">
                  <c:v>2.1178300979002085E-2</c:v>
                </c:pt>
                <c:pt idx="20">
                  <c:v>2.5238198136398937E-2</c:v>
                </c:pt>
                <c:pt idx="21">
                  <c:v>2.9455504548404177E-2</c:v>
                </c:pt>
                <c:pt idx="22">
                  <c:v>1.8194514778818505E-2</c:v>
                </c:pt>
                <c:pt idx="23">
                  <c:v>2.4576222985250196E-2</c:v>
                </c:pt>
                <c:pt idx="24">
                  <c:v>2.9665050690131034E-2</c:v>
                </c:pt>
                <c:pt idx="25">
                  <c:v>2.5838253341281758E-2</c:v>
                </c:pt>
                <c:pt idx="26">
                  <c:v>-2.1630291403614943E-2</c:v>
                </c:pt>
                <c:pt idx="27">
                  <c:v>6.0550529324452373E-2</c:v>
                </c:pt>
                <c:pt idx="28">
                  <c:v>2.5123753198602161E-2</c:v>
                </c:pt>
                <c:pt idx="29">
                  <c:v>2.8875560074946849E-2</c:v>
                </c:pt>
                <c:pt idx="30">
                  <c:v>2.7930012771678836E-2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06-4472-90D5-A573DFC1C1FC}"/>
            </c:ext>
          </c:extLst>
        </c:ser>
        <c:ser>
          <c:idx val="2"/>
          <c:order val="2"/>
          <c:tx>
            <c:strRef>
              <c:f>Crecimiento_Bloques!$A$7</c:f>
              <c:strCache>
                <c:ptCount val="1"/>
                <c:pt idx="0">
                  <c:v>UK</c:v>
                </c:pt>
              </c:strCache>
            </c:strRef>
          </c:tx>
          <c:spPr>
            <a:ln w="219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Crecimiento_Bloques!$B$4:$AF$4</c:f>
              <c:strCache>
                <c:ptCount val="31"/>
                <c:pt idx="0">
                  <c:v>1994</c:v>
                </c:pt>
                <c:pt idx="1">
                  <c:v>1995</c:v>
                </c:pt>
                <c:pt idx="2">
                  <c:v>1996</c:v>
                </c:pt>
                <c:pt idx="3">
                  <c:v>1997</c:v>
                </c:pt>
                <c:pt idx="4">
                  <c:v>1998</c:v>
                </c:pt>
                <c:pt idx="5">
                  <c:v>1999</c:v>
                </c:pt>
                <c:pt idx="6">
                  <c:v>2000</c:v>
                </c:pt>
                <c:pt idx="7">
                  <c:v>2001</c:v>
                </c:pt>
                <c:pt idx="8">
                  <c:v>2002</c:v>
                </c:pt>
                <c:pt idx="9">
                  <c:v>2003</c:v>
                </c:pt>
                <c:pt idx="10">
                  <c:v>2004</c:v>
                </c:pt>
                <c:pt idx="11">
                  <c:v>2005</c:v>
                </c:pt>
                <c:pt idx="12">
                  <c:v>2006</c:v>
                </c:pt>
                <c:pt idx="13">
                  <c:v>2007</c:v>
                </c:pt>
                <c:pt idx="14">
                  <c:v>2008</c:v>
                </c:pt>
                <c:pt idx="15">
                  <c:v>2009</c:v>
                </c:pt>
                <c:pt idx="16">
                  <c:v>2010</c:v>
                </c:pt>
                <c:pt idx="17">
                  <c:v>2011</c:v>
                </c:pt>
                <c:pt idx="18">
                  <c:v>2012</c:v>
                </c:pt>
                <c:pt idx="19">
                  <c:v>2013</c:v>
                </c:pt>
                <c:pt idx="20">
                  <c:v>2014</c:v>
                </c:pt>
                <c:pt idx="21">
                  <c:v>2015</c:v>
                </c:pt>
                <c:pt idx="22">
                  <c:v>2016</c:v>
                </c:pt>
                <c:pt idx="23">
                  <c:v>2017</c:v>
                </c:pt>
                <c:pt idx="24">
                  <c:v>2018</c:v>
                </c:pt>
                <c:pt idx="25">
                  <c:v>2019</c:v>
                </c:pt>
                <c:pt idx="26">
                  <c:v>2020</c:v>
                </c:pt>
                <c:pt idx="27">
                  <c:v>2021</c:v>
                </c:pt>
                <c:pt idx="28">
                  <c:v>2022</c:v>
                </c:pt>
                <c:pt idx="29">
                  <c:v>2023</c:v>
                </c:pt>
                <c:pt idx="30">
                  <c:v>2024</c:v>
                </c:pt>
              </c:strCache>
            </c:strRef>
          </c:cat>
          <c:val>
            <c:numRef>
              <c:f>Crecimiento_Bloques!$B$7:$AF$7</c:f>
              <c:numCache>
                <c:formatCode>0.00%</c:formatCode>
                <c:ptCount val="31"/>
                <c:pt idx="0">
                  <c:v>4.9534109280070737E-2</c:v>
                </c:pt>
                <c:pt idx="1">
                  <c:v>3.5333909633803229E-2</c:v>
                </c:pt>
                <c:pt idx="2">
                  <c:v>2.6149160694950879E-2</c:v>
                </c:pt>
                <c:pt idx="3">
                  <c:v>4.8799853038022922E-2</c:v>
                </c:pt>
                <c:pt idx="4">
                  <c:v>3.2463148288163435E-2</c:v>
                </c:pt>
                <c:pt idx="5">
                  <c:v>2.9444586985479138E-2</c:v>
                </c:pt>
                <c:pt idx="6">
                  <c:v>4.5243807481090803E-2</c:v>
                </c:pt>
                <c:pt idx="7">
                  <c:v>2.3910222960281891E-2</c:v>
                </c:pt>
                <c:pt idx="8">
                  <c:v>1.7090273625858021E-2</c:v>
                </c:pt>
                <c:pt idx="9">
                  <c:v>3.2185161266959694E-2</c:v>
                </c:pt>
                <c:pt idx="10">
                  <c:v>2.3260185332601324E-2</c:v>
                </c:pt>
                <c:pt idx="11">
                  <c:v>2.790654717468688E-2</c:v>
                </c:pt>
                <c:pt idx="12">
                  <c:v>2.1898213241569264E-2</c:v>
                </c:pt>
                <c:pt idx="13">
                  <c:v>2.9309113358233718E-2</c:v>
                </c:pt>
                <c:pt idx="14">
                  <c:v>-4.9411672740229395E-4</c:v>
                </c:pt>
                <c:pt idx="15">
                  <c:v>-4.5874081922631982E-2</c:v>
                </c:pt>
                <c:pt idx="16">
                  <c:v>2.2605446093161508E-2</c:v>
                </c:pt>
                <c:pt idx="17">
                  <c:v>8.5143773901996678E-3</c:v>
                </c:pt>
                <c:pt idx="18">
                  <c:v>1.5282603472185574E-2</c:v>
                </c:pt>
                <c:pt idx="19">
                  <c:v>1.7184696130849053E-2</c:v>
                </c:pt>
                <c:pt idx="20">
                  <c:v>3.1601735146813636E-2</c:v>
                </c:pt>
                <c:pt idx="21">
                  <c:v>2.1404056003337502E-2</c:v>
                </c:pt>
                <c:pt idx="22">
                  <c:v>2.2065202063535461E-2</c:v>
                </c:pt>
                <c:pt idx="23">
                  <c:v>3.023222198403519E-2</c:v>
                </c:pt>
                <c:pt idx="24">
                  <c:v>1.5513309507876105E-2</c:v>
                </c:pt>
                <c:pt idx="25">
                  <c:v>1.2562989976083072E-2</c:v>
                </c:pt>
                <c:pt idx="26">
                  <c:v>-0.10047896637361886</c:v>
                </c:pt>
                <c:pt idx="27">
                  <c:v>8.5431118453255461E-2</c:v>
                </c:pt>
                <c:pt idx="28">
                  <c:v>5.1497038852297061E-2</c:v>
                </c:pt>
                <c:pt idx="29">
                  <c:v>2.716500483552986E-3</c:v>
                </c:pt>
                <c:pt idx="30">
                  <c:v>1.1264226705119507E-2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C06-4472-90D5-A573DFC1C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5027720"/>
        <c:axId val="9446457"/>
      </c:lineChart>
      <c:catAx>
        <c:axId val="8502772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446457"/>
        <c:crosses val="autoZero"/>
        <c:auto val="1"/>
        <c:lblAlgn val="ctr"/>
        <c:lblOffset val="100"/>
        <c:noMultiLvlLbl val="0"/>
      </c:catAx>
      <c:valAx>
        <c:axId val="944645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Tasa de crecimiento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850277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Volatilidad del crecimiento — desv. típica móvil de 5 años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Volatilidad!$B$4</c:f>
              <c:strCache>
                <c:ptCount val="1"/>
                <c:pt idx="0">
                  <c:v>Eurozona</c:v>
                </c:pt>
              </c:strCache>
            </c:strRef>
          </c:tx>
          <c:spPr>
            <a:ln w="2196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Volatilidad!$A$5:$A$31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Volatilidad!$B$5:$B$31</c:f>
              <c:numCache>
                <c:formatCode>0.00%</c:formatCode>
                <c:ptCount val="27"/>
                <c:pt idx="0">
                  <c:v>4.7291661710379346E-3</c:v>
                </c:pt>
                <c:pt idx="1">
                  <c:v>5.2609265575904677E-3</c:v>
                </c:pt>
                <c:pt idx="2">
                  <c:v>7.7157758876114889E-3</c:v>
                </c:pt>
                <c:pt idx="3">
                  <c:v>6.1818138066519531E-3</c:v>
                </c:pt>
                <c:pt idx="4">
                  <c:v>1.1098472403098043E-2</c:v>
                </c:pt>
                <c:pt idx="5">
                  <c:v>1.3422553459368308E-2</c:v>
                </c:pt>
                <c:pt idx="6">
                  <c:v>1.2657802849911116E-2</c:v>
                </c:pt>
                <c:pt idx="7">
                  <c:v>7.1101634835674726E-3</c:v>
                </c:pt>
                <c:pt idx="8">
                  <c:v>1.0498352173467715E-2</c:v>
                </c:pt>
                <c:pt idx="9">
                  <c:v>1.0254202205506288E-2</c:v>
                </c:pt>
                <c:pt idx="10">
                  <c:v>1.1527191430240639E-2</c:v>
                </c:pt>
                <c:pt idx="11">
                  <c:v>3.1727717258163424E-2</c:v>
                </c:pt>
                <c:pt idx="12">
                  <c:v>3.2027574551737277E-2</c:v>
                </c:pt>
                <c:pt idx="13">
                  <c:v>2.9736475286422346E-2</c:v>
                </c:pt>
                <c:pt idx="14">
                  <c:v>2.6700868534274089E-2</c:v>
                </c:pt>
                <c:pt idx="15">
                  <c:v>2.6484287169858397E-2</c:v>
                </c:pt>
                <c:pt idx="16">
                  <c:v>1.3233913302593938E-2</c:v>
                </c:pt>
                <c:pt idx="17">
                  <c:v>1.3295032281931176E-2</c:v>
                </c:pt>
                <c:pt idx="18">
                  <c:v>1.3336966953151119E-2</c:v>
                </c:pt>
                <c:pt idx="19">
                  <c:v>1.0630095884969402E-2</c:v>
                </c:pt>
                <c:pt idx="20">
                  <c:v>4.4285130869803858E-3</c:v>
                </c:pt>
                <c:pt idx="21">
                  <c:v>3.9948092580457126E-3</c:v>
                </c:pt>
                <c:pt idx="22">
                  <c:v>3.6049426553895189E-2</c:v>
                </c:pt>
                <c:pt idx="23">
                  <c:v>4.5440573820184654E-2</c:v>
                </c:pt>
                <c:pt idx="24">
                  <c:v>4.6431309036226734E-2</c:v>
                </c:pt>
                <c:pt idx="25">
                  <c:v>4.6593610929301463E-2</c:v>
                </c:pt>
                <c:pt idx="26">
                  <c:v>4.6551181498654906E-2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7C8-48CF-9E2A-9877EDDCDD4B}"/>
            </c:ext>
          </c:extLst>
        </c:ser>
        <c:ser>
          <c:idx val="1"/>
          <c:order val="1"/>
          <c:tx>
            <c:strRef>
              <c:f>Volatilidad!$C$4</c:f>
              <c:strCache>
                <c:ptCount val="1"/>
                <c:pt idx="0">
                  <c:v>EEUU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Volatilidad!$A$5:$A$31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Volatilidad!$C$5:$C$31</c:f>
              <c:numCache>
                <c:formatCode>0.00%</c:formatCode>
                <c:ptCount val="27"/>
                <c:pt idx="0">
                  <c:v>7.3287804502818518E-3</c:v>
                </c:pt>
                <c:pt idx="1">
                  <c:v>8.4129700334274349E-3</c:v>
                </c:pt>
                <c:pt idx="2">
                  <c:v>3.9377238848997773E-3</c:v>
                </c:pt>
                <c:pt idx="3">
                  <c:v>1.5825711790426276E-2</c:v>
                </c:pt>
                <c:pt idx="4">
                  <c:v>1.7482808097055273E-2</c:v>
                </c:pt>
                <c:pt idx="5">
                  <c:v>1.5950673533024692E-2</c:v>
                </c:pt>
                <c:pt idx="6">
                  <c:v>1.3475428173926156E-2</c:v>
                </c:pt>
                <c:pt idx="7">
                  <c:v>1.2124232132661903E-2</c:v>
                </c:pt>
                <c:pt idx="8">
                  <c:v>8.2150054286228621E-3</c:v>
                </c:pt>
                <c:pt idx="9">
                  <c:v>7.1267135063163818E-3</c:v>
                </c:pt>
                <c:pt idx="10">
                  <c:v>1.4825416668215049E-2</c:v>
                </c:pt>
                <c:pt idx="11">
                  <c:v>2.4395956347259471E-2</c:v>
                </c:pt>
                <c:pt idx="12">
                  <c:v>2.2717277023649816E-2</c:v>
                </c:pt>
                <c:pt idx="13">
                  <c:v>2.0910109597821039E-2</c:v>
                </c:pt>
                <c:pt idx="14">
                  <c:v>2.136818626449833E-2</c:v>
                </c:pt>
                <c:pt idx="15">
                  <c:v>2.1597051712024591E-2</c:v>
                </c:pt>
                <c:pt idx="16">
                  <c:v>4.3631957827280623E-3</c:v>
                </c:pt>
                <c:pt idx="17">
                  <c:v>5.100317520013874E-3</c:v>
                </c:pt>
                <c:pt idx="18">
                  <c:v>4.252637908645631E-3</c:v>
                </c:pt>
                <c:pt idx="19">
                  <c:v>4.2698041899923963E-3</c:v>
                </c:pt>
                <c:pt idx="20">
                  <c:v>4.6706055984812598E-3</c:v>
                </c:pt>
                <c:pt idx="21">
                  <c:v>4.6722858108151528E-3</c:v>
                </c:pt>
                <c:pt idx="22">
                  <c:v>2.1069398922446959E-2</c:v>
                </c:pt>
                <c:pt idx="23">
                  <c:v>2.9383960765346273E-2</c:v>
                </c:pt>
                <c:pt idx="24">
                  <c:v>2.9388596832190864E-2</c:v>
                </c:pt>
                <c:pt idx="25">
                  <c:v>2.9352040645433265E-2</c:v>
                </c:pt>
                <c:pt idx="26">
                  <c:v>2.9404078132851424E-2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7C8-48CF-9E2A-9877EDDCDD4B}"/>
            </c:ext>
          </c:extLst>
        </c:ser>
        <c:ser>
          <c:idx val="2"/>
          <c:order val="2"/>
          <c:tx>
            <c:strRef>
              <c:f>Volatilidad!$D$4</c:f>
              <c:strCache>
                <c:ptCount val="1"/>
                <c:pt idx="0">
                  <c:v>UK</c:v>
                </c:pt>
              </c:strCache>
            </c:strRef>
          </c:tx>
          <c:spPr>
            <a:ln w="219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Volatilidad!$A$5:$A$31</c:f>
              <c:numCache>
                <c:formatCode>General</c:formatCode>
                <c:ptCount val="27"/>
                <c:pt idx="0">
                  <c:v>1998</c:v>
                </c:pt>
                <c:pt idx="1">
                  <c:v>1999</c:v>
                </c:pt>
                <c:pt idx="2">
                  <c:v>2000</c:v>
                </c:pt>
                <c:pt idx="3">
                  <c:v>2001</c:v>
                </c:pt>
                <c:pt idx="4">
                  <c:v>2002</c:v>
                </c:pt>
                <c:pt idx="5">
                  <c:v>2003</c:v>
                </c:pt>
                <c:pt idx="6">
                  <c:v>2004</c:v>
                </c:pt>
                <c:pt idx="7">
                  <c:v>2005</c:v>
                </c:pt>
                <c:pt idx="8">
                  <c:v>2006</c:v>
                </c:pt>
                <c:pt idx="9">
                  <c:v>2007</c:v>
                </c:pt>
                <c:pt idx="10">
                  <c:v>2008</c:v>
                </c:pt>
                <c:pt idx="11">
                  <c:v>2009</c:v>
                </c:pt>
                <c:pt idx="12">
                  <c:v>2010</c:v>
                </c:pt>
                <c:pt idx="13">
                  <c:v>2011</c:v>
                </c:pt>
                <c:pt idx="14">
                  <c:v>2012</c:v>
                </c:pt>
                <c:pt idx="15">
                  <c:v>2013</c:v>
                </c:pt>
                <c:pt idx="16">
                  <c:v>2014</c:v>
                </c:pt>
                <c:pt idx="17">
                  <c:v>2015</c:v>
                </c:pt>
                <c:pt idx="18">
                  <c:v>2016</c:v>
                </c:pt>
                <c:pt idx="19">
                  <c:v>2017</c:v>
                </c:pt>
                <c:pt idx="20">
                  <c:v>2018</c:v>
                </c:pt>
                <c:pt idx="21">
                  <c:v>2019</c:v>
                </c:pt>
                <c:pt idx="22">
                  <c:v>2020</c:v>
                </c:pt>
                <c:pt idx="23">
                  <c:v>2021</c:v>
                </c:pt>
                <c:pt idx="24">
                  <c:v>2022</c:v>
                </c:pt>
                <c:pt idx="25">
                  <c:v>2023</c:v>
                </c:pt>
                <c:pt idx="26">
                  <c:v>2024</c:v>
                </c:pt>
              </c:numCache>
            </c:numRef>
          </c:cat>
          <c:val>
            <c:numRef>
              <c:f>Volatilidad!$D$5:$D$31</c:f>
              <c:numCache>
                <c:formatCode>0.00%</c:formatCode>
                <c:ptCount val="27"/>
                <c:pt idx="0">
                  <c:v>1.0330050997719257E-2</c:v>
                </c:pt>
                <c:pt idx="1">
                  <c:v>8.7264618619633891E-3</c:v>
                </c:pt>
                <c:pt idx="2">
                  <c:v>1.0011537617509322E-2</c:v>
                </c:pt>
                <c:pt idx="3">
                  <c:v>1.0617507397703077E-2</c:v>
                </c:pt>
                <c:pt idx="4">
                  <c:v>1.0509670277367187E-2</c:v>
                </c:pt>
                <c:pt idx="5">
                  <c:v>1.0491658217849482E-2</c:v>
                </c:pt>
                <c:pt idx="6">
                  <c:v>1.0868621534890779E-2</c:v>
                </c:pt>
                <c:pt idx="7">
                  <c:v>5.6295874548856579E-3</c:v>
                </c:pt>
                <c:pt idx="8">
                  <c:v>5.7851458791056357E-3</c:v>
                </c:pt>
                <c:pt idx="9">
                  <c:v>4.272449946598097E-3</c:v>
                </c:pt>
                <c:pt idx="10">
                  <c:v>1.2069663266031623E-2</c:v>
                </c:pt>
                <c:pt idx="11">
                  <c:v>3.1652610239699931E-2</c:v>
                </c:pt>
                <c:pt idx="12">
                  <c:v>3.083665301550631E-2</c:v>
                </c:pt>
                <c:pt idx="13">
                  <c:v>2.9612748999146024E-2</c:v>
                </c:pt>
                <c:pt idx="14">
                  <c:v>2.7026533691776412E-2</c:v>
                </c:pt>
                <c:pt idx="15">
                  <c:v>2.8080480730401335E-2</c:v>
                </c:pt>
                <c:pt idx="16">
                  <c:v>8.6437619609779637E-3</c:v>
                </c:pt>
                <c:pt idx="17">
                  <c:v>8.5358188889966234E-3</c:v>
                </c:pt>
                <c:pt idx="18">
                  <c:v>6.3176594835175348E-3</c:v>
                </c:pt>
                <c:pt idx="19">
                  <c:v>6.1708946406182951E-3</c:v>
                </c:pt>
                <c:pt idx="20">
                  <c:v>6.6895423868057764E-3</c:v>
                </c:pt>
                <c:pt idx="21">
                  <c:v>6.8143636754899829E-3</c:v>
                </c:pt>
                <c:pt idx="22">
                  <c:v>5.4347332967648716E-2</c:v>
                </c:pt>
                <c:pt idx="23">
                  <c:v>6.7699114181140427E-2</c:v>
                </c:pt>
                <c:pt idx="24">
                  <c:v>7.0021831239592727E-2</c:v>
                </c:pt>
                <c:pt idx="25">
                  <c:v>7.0136439335330869E-2</c:v>
                </c:pt>
                <c:pt idx="26">
                  <c:v>7.0128579309813588E-2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7C8-48CF-9E2A-9877EDDCDD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9053057"/>
        <c:axId val="92178512"/>
      </c:lineChart>
      <c:catAx>
        <c:axId val="3905305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92178512"/>
        <c:crosses val="autoZero"/>
        <c:auto val="1"/>
        <c:lblAlgn val="ctr"/>
        <c:lblOffset val="100"/>
        <c:noMultiLvlLbl val="0"/>
      </c:catAx>
      <c:valAx>
        <c:axId val="9217851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Desv. típica del crecimiento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3905305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Tasa</a:t>
            </a:r>
            <a:r>
              <a:rPr lang="es-ES" sz="1800" b="1" strike="noStrike" spc="-1" baseline="0">
                <a:solidFill>
                  <a:srgbClr val="000000"/>
                </a:solidFill>
                <a:latin typeface="Calibri"/>
              </a:rPr>
              <a:t> de Crecimiento anual</a:t>
            </a: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 del PIB 1993-2024 por país (ordenado)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Graficas!$P$5</c:f>
              <c:strCache>
                <c:ptCount val="1"/>
                <c:pt idx="0">
                  <c:v>CAGR</c:v>
                </c:pt>
              </c:strCache>
            </c:strRef>
          </c:tx>
          <c:spPr>
            <a:solidFill>
              <a:srgbClr val="1F4E78"/>
            </a:solidFill>
            <a:ln w="0">
              <a:solidFill>
                <a:srgbClr val="000000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Graficas!$O$6:$O$27</c:f>
              <c:strCache>
                <c:ptCount val="22"/>
                <c:pt idx="0">
                  <c:v>Irlanda</c:v>
                </c:pt>
                <c:pt idx="1">
                  <c:v>Malta</c:v>
                </c:pt>
                <c:pt idx="2">
                  <c:v>Eslovaquia</c:v>
                </c:pt>
                <c:pt idx="3">
                  <c:v>Chipre</c:v>
                </c:pt>
                <c:pt idx="4">
                  <c:v>Lituania</c:v>
                </c:pt>
                <c:pt idx="5">
                  <c:v>Estonia</c:v>
                </c:pt>
                <c:pt idx="6">
                  <c:v>Letonia</c:v>
                </c:pt>
                <c:pt idx="7">
                  <c:v>Luxemburgo</c:v>
                </c:pt>
                <c:pt idx="8">
                  <c:v>Croacia</c:v>
                </c:pt>
                <c:pt idx="9">
                  <c:v>Eslovenia</c:v>
                </c:pt>
                <c:pt idx="10">
                  <c:v>EEUU</c:v>
                </c:pt>
                <c:pt idx="11">
                  <c:v>España</c:v>
                </c:pt>
                <c:pt idx="12">
                  <c:v>Países Bajos</c:v>
                </c:pt>
                <c:pt idx="13">
                  <c:v>Reino Unido</c:v>
                </c:pt>
                <c:pt idx="14">
                  <c:v>Finlandia</c:v>
                </c:pt>
                <c:pt idx="15">
                  <c:v>Bélgica</c:v>
                </c:pt>
                <c:pt idx="16">
                  <c:v>Austria</c:v>
                </c:pt>
                <c:pt idx="17">
                  <c:v>Francia</c:v>
                </c:pt>
                <c:pt idx="18">
                  <c:v>Portugal</c:v>
                </c:pt>
                <c:pt idx="19">
                  <c:v>Alemania</c:v>
                </c:pt>
                <c:pt idx="20">
                  <c:v>Grecia</c:v>
                </c:pt>
                <c:pt idx="21">
                  <c:v>Italia</c:v>
                </c:pt>
              </c:strCache>
            </c:strRef>
          </c:cat>
          <c:val>
            <c:numRef>
              <c:f>Graficas!$P$6:$P$27</c:f>
              <c:numCache>
                <c:formatCode>0.00%</c:formatCode>
                <c:ptCount val="22"/>
                <c:pt idx="0">
                  <c:v>5.7852529238859862E-2</c:v>
                </c:pt>
                <c:pt idx="1">
                  <c:v>5.161072698653113E-2</c:v>
                </c:pt>
                <c:pt idx="2">
                  <c:v>3.4924999970781911E-2</c:v>
                </c:pt>
                <c:pt idx="3">
                  <c:v>3.4672403110761918E-2</c:v>
                </c:pt>
                <c:pt idx="4">
                  <c:v>3.4666184563029612E-2</c:v>
                </c:pt>
                <c:pt idx="5">
                  <c:v>3.3167888954219071E-2</c:v>
                </c:pt>
                <c:pt idx="6">
                  <c:v>3.2188056829685951E-2</c:v>
                </c:pt>
                <c:pt idx="7">
                  <c:v>2.9003351377046904E-2</c:v>
                </c:pt>
                <c:pt idx="8">
                  <c:v>2.7399728852526062E-2</c:v>
                </c:pt>
                <c:pt idx="9">
                  <c:v>2.7337370202670019E-2</c:v>
                </c:pt>
                <c:pt idx="10">
                  <c:v>2.5476334027237924E-2</c:v>
                </c:pt>
                <c:pt idx="11">
                  <c:v>2.0421050745039526E-2</c:v>
                </c:pt>
                <c:pt idx="12">
                  <c:v>2.0303434356379713E-2</c:v>
                </c:pt>
                <c:pt idx="13">
                  <c:v>2.0288360737379829E-2</c:v>
                </c:pt>
                <c:pt idx="14">
                  <c:v>1.9235868346730634E-2</c:v>
                </c:pt>
                <c:pt idx="15">
                  <c:v>1.8544819009392421E-2</c:v>
                </c:pt>
                <c:pt idx="16">
                  <c:v>1.6490531375757955E-2</c:v>
                </c:pt>
                <c:pt idx="17">
                  <c:v>1.5862968769229546E-2</c:v>
                </c:pt>
                <c:pt idx="18">
                  <c:v>1.5452965641197247E-2</c:v>
                </c:pt>
                <c:pt idx="19">
                  <c:v>1.2388894161404318E-2</c:v>
                </c:pt>
                <c:pt idx="20">
                  <c:v>1.0694623318662444E-2</c:v>
                </c:pt>
                <c:pt idx="21">
                  <c:v>7.9574704609699509E-3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3-4AD1-BFCC-BE359575AD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9710936"/>
        <c:axId val="21966566"/>
      </c:barChart>
      <c:catAx>
        <c:axId val="49710936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CAGR anual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21966566"/>
        <c:crosses val="autoZero"/>
        <c:auto val="1"/>
        <c:lblAlgn val="ctr"/>
        <c:lblOffset val="100"/>
        <c:noMultiLvlLbl val="0"/>
      </c:catAx>
      <c:valAx>
        <c:axId val="21966566"/>
        <c:scaling>
          <c:orientation val="minMax"/>
        </c:scaling>
        <c:delete val="0"/>
        <c:axPos val="b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País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4971093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ES" sz="1800" b="1" strike="noStrike" spc="-1">
                <a:solidFill>
                  <a:srgbClr val="000000"/>
                </a:solidFill>
                <a:latin typeface="Calibri"/>
              </a:rPr>
              <a:t>Cuota de cada bloque sobre el agregado Eurozona+EEUU+UK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Graficas!$A$97</c:f>
              <c:strCache>
                <c:ptCount val="1"/>
                <c:pt idx="0">
                  <c:v>Eurozona</c:v>
                </c:pt>
              </c:strCache>
            </c:strRef>
          </c:tx>
          <c:spPr>
            <a:ln w="21960">
              <a:solidFill>
                <a:srgbClr val="1F4E7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Graficas!$B$96:$AG$96</c:f>
              <c:numCache>
                <c:formatCode>General</c:formatCod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numCache>
            </c:numRef>
          </c:cat>
          <c:val>
            <c:numRef>
              <c:f>Graficas!$B$97:$AG$97</c:f>
              <c:numCache>
                <c:formatCode>0.0%</c:formatCode>
                <c:ptCount val="32"/>
                <c:pt idx="0">
                  <c:v>0.40635293884298573</c:v>
                </c:pt>
                <c:pt idx="1">
                  <c:v>0.40250815072615198</c:v>
                </c:pt>
                <c:pt idx="2">
                  <c:v>0.40171016422335065</c:v>
                </c:pt>
                <c:pt idx="3">
                  <c:v>0.39736993208994514</c:v>
                </c:pt>
                <c:pt idx="4">
                  <c:v>0.39333988482360971</c:v>
                </c:pt>
                <c:pt idx="5">
                  <c:v>0.3903522714372431</c:v>
                </c:pt>
                <c:pt idx="6">
                  <c:v>0.38689904945490455</c:v>
                </c:pt>
                <c:pt idx="7">
                  <c:v>0.38635030271628057</c:v>
                </c:pt>
                <c:pt idx="8">
                  <c:v>0.3887348929499117</c:v>
                </c:pt>
                <c:pt idx="9">
                  <c:v>0.38696591692182503</c:v>
                </c:pt>
                <c:pt idx="10">
                  <c:v>0.3820735941506575</c:v>
                </c:pt>
                <c:pt idx="11">
                  <c:v>0.37907023151625091</c:v>
                </c:pt>
                <c:pt idx="12">
                  <c:v>0.37538029097510761</c:v>
                </c:pt>
                <c:pt idx="13">
                  <c:v>0.37680625983660776</c:v>
                </c:pt>
                <c:pt idx="14">
                  <c:v>0.37880910544183344</c:v>
                </c:pt>
                <c:pt idx="15">
                  <c:v>0.37956186483155852</c:v>
                </c:pt>
                <c:pt idx="16">
                  <c:v>0.37562109723581227</c:v>
                </c:pt>
                <c:pt idx="17">
                  <c:v>0.37444168561831448</c:v>
                </c:pt>
                <c:pt idx="18">
                  <c:v>0.37516609594674583</c:v>
                </c:pt>
                <c:pt idx="19">
                  <c:v>0.3679658694833754</c:v>
                </c:pt>
                <c:pt idx="20">
                  <c:v>0.3628462924680978</c:v>
                </c:pt>
                <c:pt idx="21">
                  <c:v>0.36022953547642367</c:v>
                </c:pt>
                <c:pt idx="22">
                  <c:v>0.3586816146365267</c:v>
                </c:pt>
                <c:pt idx="23">
                  <c:v>0.35851950933458787</c:v>
                </c:pt>
                <c:pt idx="24">
                  <c:v>0.35871229992798731</c:v>
                </c:pt>
                <c:pt idx="25">
                  <c:v>0.35649323629685797</c:v>
                </c:pt>
                <c:pt idx="26">
                  <c:v>0.35474770639724823</c:v>
                </c:pt>
                <c:pt idx="27">
                  <c:v>0.34802544660082441</c:v>
                </c:pt>
                <c:pt idx="28">
                  <c:v>0.34816364102340036</c:v>
                </c:pt>
                <c:pt idx="29">
                  <c:v>0.34993206584725511</c:v>
                </c:pt>
                <c:pt idx="30">
                  <c:v>0.34531582584899012</c:v>
                </c:pt>
                <c:pt idx="31">
                  <c:v>0.34162714116321097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89C-4982-895E-EDCAF5B5CCFC}"/>
            </c:ext>
          </c:extLst>
        </c:ser>
        <c:ser>
          <c:idx val="1"/>
          <c:order val="1"/>
          <c:tx>
            <c:strRef>
              <c:f>Graficas!$A$98</c:f>
              <c:strCache>
                <c:ptCount val="1"/>
                <c:pt idx="0">
                  <c:v>EEUU</c:v>
                </c:pt>
              </c:strCache>
            </c:strRef>
          </c:tx>
          <c:spPr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Graficas!$B$96:$AG$96</c:f>
              <c:numCache>
                <c:formatCode>General</c:formatCod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numCache>
            </c:numRef>
          </c:cat>
          <c:val>
            <c:numRef>
              <c:f>Graficas!$B$98:$AG$98</c:f>
              <c:numCache>
                <c:formatCode>0.0%</c:formatCode>
                <c:ptCount val="32"/>
                <c:pt idx="0">
                  <c:v>0.50645455413728258</c:v>
                </c:pt>
                <c:pt idx="1">
                  <c:v>0.50907023698371201</c:v>
                </c:pt>
                <c:pt idx="2">
                  <c:v>0.50912720645426524</c:v>
                </c:pt>
                <c:pt idx="3">
                  <c:v>0.51367476094051256</c:v>
                </c:pt>
                <c:pt idx="4">
                  <c:v>0.51679378044310587</c:v>
                </c:pt>
                <c:pt idx="5">
                  <c:v>0.52025110202169333</c:v>
                </c:pt>
                <c:pt idx="6">
                  <c:v>0.52455149203209317</c:v>
                </c:pt>
                <c:pt idx="7">
                  <c:v>0.52469566262999767</c:v>
                </c:pt>
                <c:pt idx="8">
                  <c:v>0.52158167289408186</c:v>
                </c:pt>
                <c:pt idx="9">
                  <c:v>0.52308463404204075</c:v>
                </c:pt>
                <c:pt idx="10">
                  <c:v>0.52694102500848405</c:v>
                </c:pt>
                <c:pt idx="11">
                  <c:v>0.53064711642240492</c:v>
                </c:pt>
                <c:pt idx="12">
                  <c:v>0.53432073051698947</c:v>
                </c:pt>
                <c:pt idx="13">
                  <c:v>0.53354720527897848</c:v>
                </c:pt>
                <c:pt idx="14">
                  <c:v>0.53113807557131165</c:v>
                </c:pt>
                <c:pt idx="15">
                  <c:v>0.53061968344831767</c:v>
                </c:pt>
                <c:pt idx="16">
                  <c:v>0.53559036032156426</c:v>
                </c:pt>
                <c:pt idx="17">
                  <c:v>0.53692521046593145</c:v>
                </c:pt>
                <c:pt idx="18">
                  <c:v>0.5368373886183273</c:v>
                </c:pt>
                <c:pt idx="19">
                  <c:v>0.5435930314518479</c:v>
                </c:pt>
                <c:pt idx="20">
                  <c:v>0.54829627064614328</c:v>
                </c:pt>
                <c:pt idx="21">
                  <c:v>0.55007194580583518</c:v>
                </c:pt>
                <c:pt idx="22">
                  <c:v>0.55200814487094185</c:v>
                </c:pt>
                <c:pt idx="23">
                  <c:v>0.55185552236522062</c:v>
                </c:pt>
                <c:pt idx="24">
                  <c:v>0.55126448981675957</c:v>
                </c:pt>
                <c:pt idx="25">
                  <c:v>0.55424138053278893</c:v>
                </c:pt>
                <c:pt idx="26">
                  <c:v>0.55674419993419166</c:v>
                </c:pt>
                <c:pt idx="27">
                  <c:v>0.56883262262893863</c:v>
                </c:pt>
                <c:pt idx="28">
                  <c:v>0.56701570753394848</c:v>
                </c:pt>
                <c:pt idx="29">
                  <c:v>0.56359064853026486</c:v>
                </c:pt>
                <c:pt idx="30">
                  <c:v>0.56951904092934391</c:v>
                </c:pt>
                <c:pt idx="31">
                  <c:v>0.57393835966996298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89C-4982-895E-EDCAF5B5CCFC}"/>
            </c:ext>
          </c:extLst>
        </c:ser>
        <c:ser>
          <c:idx val="2"/>
          <c:order val="2"/>
          <c:tx>
            <c:strRef>
              <c:f>Graficas!$A$99</c:f>
              <c:strCache>
                <c:ptCount val="1"/>
                <c:pt idx="0">
                  <c:v>UK</c:v>
                </c:pt>
              </c:strCache>
            </c:strRef>
          </c:tx>
          <c:spPr>
            <a:ln w="21960">
              <a:solidFill>
                <a:srgbClr val="00B05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E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Graficas!$B$96:$AG$96</c:f>
              <c:numCache>
                <c:formatCode>General</c:formatCode>
                <c:ptCount val="32"/>
                <c:pt idx="0">
                  <c:v>1993</c:v>
                </c:pt>
                <c:pt idx="1">
                  <c:v>1994</c:v>
                </c:pt>
                <c:pt idx="2">
                  <c:v>1995</c:v>
                </c:pt>
                <c:pt idx="3">
                  <c:v>1996</c:v>
                </c:pt>
                <c:pt idx="4">
                  <c:v>1997</c:v>
                </c:pt>
                <c:pt idx="5">
                  <c:v>1998</c:v>
                </c:pt>
                <c:pt idx="6">
                  <c:v>1999</c:v>
                </c:pt>
                <c:pt idx="7">
                  <c:v>2000</c:v>
                </c:pt>
                <c:pt idx="8">
                  <c:v>2001</c:v>
                </c:pt>
                <c:pt idx="9">
                  <c:v>2002</c:v>
                </c:pt>
                <c:pt idx="10">
                  <c:v>2003</c:v>
                </c:pt>
                <c:pt idx="11">
                  <c:v>2004</c:v>
                </c:pt>
                <c:pt idx="12">
                  <c:v>2005</c:v>
                </c:pt>
                <c:pt idx="13">
                  <c:v>2006</c:v>
                </c:pt>
                <c:pt idx="14">
                  <c:v>2007</c:v>
                </c:pt>
                <c:pt idx="15">
                  <c:v>2008</c:v>
                </c:pt>
                <c:pt idx="16">
                  <c:v>2009</c:v>
                </c:pt>
                <c:pt idx="17">
                  <c:v>2010</c:v>
                </c:pt>
                <c:pt idx="18">
                  <c:v>2011</c:v>
                </c:pt>
                <c:pt idx="19">
                  <c:v>2012</c:v>
                </c:pt>
                <c:pt idx="20">
                  <c:v>2013</c:v>
                </c:pt>
                <c:pt idx="21">
                  <c:v>2014</c:v>
                </c:pt>
                <c:pt idx="22">
                  <c:v>2015</c:v>
                </c:pt>
                <c:pt idx="23">
                  <c:v>2016</c:v>
                </c:pt>
                <c:pt idx="24">
                  <c:v>2017</c:v>
                </c:pt>
                <c:pt idx="25">
                  <c:v>2018</c:v>
                </c:pt>
                <c:pt idx="26">
                  <c:v>2019</c:v>
                </c:pt>
                <c:pt idx="27">
                  <c:v>2020</c:v>
                </c:pt>
                <c:pt idx="28">
                  <c:v>2021</c:v>
                </c:pt>
                <c:pt idx="29">
                  <c:v>2022</c:v>
                </c:pt>
                <c:pt idx="30">
                  <c:v>2023</c:v>
                </c:pt>
                <c:pt idx="31">
                  <c:v>2024</c:v>
                </c:pt>
              </c:numCache>
            </c:numRef>
          </c:cat>
          <c:val>
            <c:numRef>
              <c:f>Graficas!$B$99:$AG$99</c:f>
              <c:numCache>
                <c:formatCode>0.0%</c:formatCode>
                <c:ptCount val="32"/>
                <c:pt idx="0">
                  <c:v>8.7192507019731788E-2</c:v>
                </c:pt>
                <c:pt idx="1">
                  <c:v>8.8421612290135898E-2</c:v>
                </c:pt>
                <c:pt idx="2">
                  <c:v>8.9162629322384043E-2</c:v>
                </c:pt>
                <c:pt idx="3">
                  <c:v>8.8955306969542333E-2</c:v>
                </c:pt>
                <c:pt idx="4">
                  <c:v>8.9866334733284384E-2</c:v>
                </c:pt>
                <c:pt idx="5">
                  <c:v>8.9396626541063631E-2</c:v>
                </c:pt>
                <c:pt idx="6">
                  <c:v>8.8549458513002388E-2</c:v>
                </c:pt>
                <c:pt idx="7">
                  <c:v>8.8954034653721856E-2</c:v>
                </c:pt>
                <c:pt idx="8">
                  <c:v>8.9683434156006464E-2</c:v>
                </c:pt>
                <c:pt idx="9">
                  <c:v>8.9949449036134138E-2</c:v>
                </c:pt>
                <c:pt idx="10">
                  <c:v>9.0985380840858415E-2</c:v>
                </c:pt>
                <c:pt idx="11">
                  <c:v>9.028265206134431E-2</c:v>
                </c:pt>
                <c:pt idx="12">
                  <c:v>9.0298978507902902E-2</c:v>
                </c:pt>
                <c:pt idx="13">
                  <c:v>8.9646534884413695E-2</c:v>
                </c:pt>
                <c:pt idx="14">
                  <c:v>9.0052818986854827E-2</c:v>
                </c:pt>
                <c:pt idx="15">
                  <c:v>8.9818451720123801E-2</c:v>
                </c:pt>
                <c:pt idx="16">
                  <c:v>8.8788542442623547E-2</c:v>
                </c:pt>
                <c:pt idx="17">
                  <c:v>8.8633103915754047E-2</c:v>
                </c:pt>
                <c:pt idx="18">
                  <c:v>8.7996515434926897E-2</c:v>
                </c:pt>
                <c:pt idx="19">
                  <c:v>8.8441099064776818E-2</c:v>
                </c:pt>
                <c:pt idx="20">
                  <c:v>8.8857436885758853E-2</c:v>
                </c:pt>
                <c:pt idx="21">
                  <c:v>8.9698518717741066E-2</c:v>
                </c:pt>
                <c:pt idx="22">
                  <c:v>8.9310240492531417E-2</c:v>
                </c:pt>
                <c:pt idx="23">
                  <c:v>8.9624968300191482E-2</c:v>
                </c:pt>
                <c:pt idx="24">
                  <c:v>9.0023210255253089E-2</c:v>
                </c:pt>
                <c:pt idx="25">
                  <c:v>8.9265383170353166E-2</c:v>
                </c:pt>
                <c:pt idx="26">
                  <c:v>8.8508093668560245E-2</c:v>
                </c:pt>
                <c:pt idx="27">
                  <c:v>8.3141930770237071E-2</c:v>
                </c:pt>
                <c:pt idx="28">
                  <c:v>8.4820651442651149E-2</c:v>
                </c:pt>
                <c:pt idx="29">
                  <c:v>8.6477285622480041E-2</c:v>
                </c:pt>
                <c:pt idx="30">
                  <c:v>8.5165133221665856E-2</c:v>
                </c:pt>
                <c:pt idx="31">
                  <c:v>8.4434499166826077E-2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89C-4982-895E-EDCAF5B5C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75676573"/>
        <c:axId val="69202398"/>
      </c:lineChart>
      <c:catAx>
        <c:axId val="7567657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Año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69202398"/>
        <c:crosses val="autoZero"/>
        <c:auto val="1"/>
        <c:lblAlgn val="ctr"/>
        <c:lblOffset val="100"/>
        <c:noMultiLvlLbl val="0"/>
      </c:catAx>
      <c:valAx>
        <c:axId val="69202398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ES" sz="1000" b="1" strike="noStrike" spc="-1">
                    <a:solidFill>
                      <a:srgbClr val="000000"/>
                    </a:solidFill>
                    <a:latin typeface="Calibri"/>
                  </a:rPr>
                  <a:t>Cuota relativa (%)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ES"/>
          </a:p>
        </c:txPr>
        <c:crossAx val="756765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E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160920</xdr:rowOff>
    </xdr:from>
    <xdr:to>
      <xdr:col>12</xdr:col>
      <xdr:colOff>347400</xdr:colOff>
      <xdr:row>21</xdr:row>
      <xdr:rowOff>141120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23</xdr:row>
      <xdr:rowOff>160560</xdr:rowOff>
    </xdr:from>
    <xdr:to>
      <xdr:col>12</xdr:col>
      <xdr:colOff>347400</xdr:colOff>
      <xdr:row>42</xdr:row>
      <xdr:rowOff>140760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44</xdr:row>
      <xdr:rowOff>160920</xdr:rowOff>
    </xdr:from>
    <xdr:to>
      <xdr:col>12</xdr:col>
      <xdr:colOff>347400</xdr:colOff>
      <xdr:row>63</xdr:row>
      <xdr:rowOff>141120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65</xdr:row>
      <xdr:rowOff>160560</xdr:rowOff>
    </xdr:from>
    <xdr:to>
      <xdr:col>12</xdr:col>
      <xdr:colOff>347400</xdr:colOff>
      <xdr:row>94</xdr:row>
      <xdr:rowOff>35640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0</xdr:colOff>
      <xdr:row>99</xdr:row>
      <xdr:rowOff>160920</xdr:rowOff>
    </xdr:from>
    <xdr:to>
      <xdr:col>12</xdr:col>
      <xdr:colOff>347400</xdr:colOff>
      <xdr:row>118</xdr:row>
      <xdr:rowOff>140760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zoomScaleNormal="100" workbookViewId="0"/>
  </sheetViews>
  <sheetFormatPr baseColWidth="10" defaultColWidth="8.6328125" defaultRowHeight="14.5" x14ac:dyDescent="0.35"/>
  <cols>
    <col min="1" max="1" width="22" customWidth="1"/>
    <col min="2" max="8" width="14" customWidth="1"/>
  </cols>
  <sheetData>
    <row r="1" spans="1:8" ht="17.25" customHeight="1" x14ac:dyDescent="0.4">
      <c r="A1" s="3" t="s">
        <v>0</v>
      </c>
    </row>
    <row r="2" spans="1:8" ht="15" customHeight="1" x14ac:dyDescent="0.35">
      <c r="A2" s="2" t="s">
        <v>1</v>
      </c>
      <c r="B2" s="2"/>
      <c r="C2" s="2"/>
      <c r="D2" s="2"/>
      <c r="E2" s="2"/>
      <c r="F2" s="2"/>
      <c r="G2" s="2"/>
      <c r="H2" s="2"/>
    </row>
    <row r="4" spans="1:8" ht="15" customHeight="1" x14ac:dyDescent="0.35">
      <c r="A4" s="1" t="s">
        <v>2</v>
      </c>
      <c r="B4" s="1"/>
      <c r="C4" s="1"/>
      <c r="D4" s="1"/>
      <c r="E4" s="1"/>
      <c r="F4" s="1"/>
      <c r="G4" s="1"/>
      <c r="H4" s="1"/>
    </row>
    <row r="5" spans="1:8" ht="15" customHeight="1" x14ac:dyDescent="0.35">
      <c r="A5" s="6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</row>
    <row r="6" spans="1:8" ht="15" customHeight="1" x14ac:dyDescent="0.35">
      <c r="A6" s="5" t="s">
        <v>10</v>
      </c>
      <c r="B6" s="8">
        <f>Bloques_EUR!B5</f>
        <v>7482430.4592251945</v>
      </c>
      <c r="C6" s="8">
        <f>Bloques_EUR!I5</f>
        <v>9059605.7763579991</v>
      </c>
      <c r="D6" s="8">
        <f>Bloques_EUR!Q5</f>
        <v>10477754.395092759</v>
      </c>
      <c r="E6" s="8">
        <f>Bloques_EUR!R5</f>
        <v>10008061.154999103</v>
      </c>
      <c r="F6" s="8">
        <f>Bloques_EUR!AC5</f>
        <v>10823484.928846417</v>
      </c>
      <c r="G6" s="8">
        <f>Bloques_EUR!AG5</f>
        <v>12107703.757614478</v>
      </c>
    </row>
    <row r="7" spans="1:8" ht="15" customHeight="1" x14ac:dyDescent="0.35">
      <c r="A7" s="5" t="s">
        <v>11</v>
      </c>
      <c r="B7" s="8">
        <f>Bloques_EUR!B6</f>
        <v>9325664.0222168546</v>
      </c>
      <c r="C7" s="8">
        <f>Bloques_EUR!I6</f>
        <v>12303693.882397477</v>
      </c>
      <c r="D7" s="8">
        <f>Bloques_EUR!Q6</f>
        <v>14647685.227388734</v>
      </c>
      <c r="E7" s="8">
        <f>Bloques_EUR!R6</f>
        <v>14270287.583876342</v>
      </c>
      <c r="F7" s="8">
        <f>Bloques_EUR!AC6</f>
        <v>17690520.558751334</v>
      </c>
      <c r="G7" s="8">
        <f>Bloques_EUR!AG6</f>
        <v>20341111.102455433</v>
      </c>
    </row>
    <row r="8" spans="1:8" ht="15" customHeight="1" x14ac:dyDescent="0.35">
      <c r="A8" s="5" t="s">
        <v>12</v>
      </c>
      <c r="B8" s="8">
        <f>Bloques_EUR!B7</f>
        <v>1605530.0896759082</v>
      </c>
      <c r="C8" s="8">
        <f>Bloques_EUR!I7</f>
        <v>2085901.0087822264</v>
      </c>
      <c r="D8" s="8">
        <f>Bloques_EUR!Q7</f>
        <v>2479426.3187862462</v>
      </c>
      <c r="E8" s="8">
        <f>Bloques_EUR!R7</f>
        <v>2365684.9127171161</v>
      </c>
      <c r="F8" s="8">
        <f>Bloques_EUR!AC7</f>
        <v>2585688.613967923</v>
      </c>
      <c r="G8" s="8">
        <f>Bloques_EUR!AG7</f>
        <v>2992466.8729586485</v>
      </c>
    </row>
    <row r="11" spans="1:8" ht="15" customHeight="1" x14ac:dyDescent="0.35">
      <c r="A11" s="1" t="s">
        <v>13</v>
      </c>
      <c r="B11" s="1"/>
      <c r="C11" s="1"/>
      <c r="D11" s="1"/>
      <c r="E11" s="1"/>
      <c r="F11" s="1"/>
      <c r="G11" s="1"/>
      <c r="H11" s="1"/>
    </row>
    <row r="12" spans="1:8" ht="15" customHeight="1" x14ac:dyDescent="0.35">
      <c r="A12" s="6" t="s">
        <v>3</v>
      </c>
      <c r="B12" s="7" t="s">
        <v>14</v>
      </c>
      <c r="C12" s="7" t="s">
        <v>15</v>
      </c>
      <c r="D12" s="7" t="s">
        <v>16</v>
      </c>
      <c r="E12" s="7" t="s">
        <v>17</v>
      </c>
      <c r="F12" s="7" t="s">
        <v>18</v>
      </c>
      <c r="G12" s="7" t="s">
        <v>19</v>
      </c>
      <c r="H12" s="7" t="s">
        <v>20</v>
      </c>
    </row>
    <row r="13" spans="1:8" ht="15" customHeight="1" x14ac:dyDescent="0.35">
      <c r="A13" s="5" t="s">
        <v>10</v>
      </c>
      <c r="B13" s="9">
        <f>Estadisticos!B6</f>
        <v>1.5901500253237697E-2</v>
      </c>
      <c r="C13" s="9">
        <f>Estadisticos!C6</f>
        <v>1.8015811277539928E-2</v>
      </c>
      <c r="D13" s="9">
        <f>Estadisticos!D6</f>
        <v>6.4371375548619048E-2</v>
      </c>
      <c r="E13" s="9">
        <f>Estadisticos!E6</f>
        <v>-6.0567442505212843E-2</v>
      </c>
      <c r="F13" s="9">
        <f>Estadisticos!F6</f>
        <v>2.2864273405120351E-2</v>
      </c>
      <c r="G13" s="10">
        <f>Estadisticos!G6</f>
        <v>1.4378689457596914</v>
      </c>
      <c r="H13" s="9">
        <f>Estadisticos!H6</f>
        <v>1.564644218872191E-2</v>
      </c>
    </row>
    <row r="14" spans="1:8" ht="15" customHeight="1" x14ac:dyDescent="0.35">
      <c r="A14" s="5" t="s">
        <v>11</v>
      </c>
      <c r="B14" s="9">
        <f>Estadisticos!B7</f>
        <v>2.5625538785281048E-2</v>
      </c>
      <c r="C14" s="9">
        <f>Estadisticos!C7</f>
        <v>2.695192577445038E-2</v>
      </c>
      <c r="D14" s="9">
        <f>Estadisticos!D7</f>
        <v>6.0550529324452373E-2</v>
      </c>
      <c r="E14" s="9">
        <f>Estadisticos!E7</f>
        <v>-2.5765002295838668E-2</v>
      </c>
      <c r="F14" s="9">
        <f>Estadisticos!F7</f>
        <v>1.7665434869946664E-2</v>
      </c>
      <c r="G14" s="10">
        <f>Estadisticos!G7</f>
        <v>0.68936832969511819</v>
      </c>
      <c r="H14" s="9">
        <f>Estadisticos!H7</f>
        <v>2.5476334027237924E-2</v>
      </c>
    </row>
    <row r="15" spans="1:8" ht="15" customHeight="1" x14ac:dyDescent="0.35">
      <c r="A15" s="5" t="s">
        <v>12</v>
      </c>
      <c r="B15" s="9">
        <f>Estadisticos!B8</f>
        <v>2.0759891922594212E-2</v>
      </c>
      <c r="C15" s="9">
        <f>Estadisticos!C8</f>
        <v>2.3260185332601324E-2</v>
      </c>
      <c r="D15" s="9">
        <f>Estadisticos!D8</f>
        <v>8.5431118453255461E-2</v>
      </c>
      <c r="E15" s="9">
        <f>Estadisticos!E8</f>
        <v>-0.10047896637361886</v>
      </c>
      <c r="F15" s="9">
        <f>Estadisticos!F8</f>
        <v>3.0869040671586544E-2</v>
      </c>
      <c r="G15" s="10">
        <f>Estadisticos!G8</f>
        <v>1.4869557503808557</v>
      </c>
      <c r="H15" s="9">
        <f>Estadisticos!H8</f>
        <v>2.0288360737379829E-2</v>
      </c>
    </row>
    <row r="18" spans="1:8" ht="15" customHeight="1" x14ac:dyDescent="0.35">
      <c r="A18" s="1" t="s">
        <v>21</v>
      </c>
      <c r="B18" s="1"/>
      <c r="C18" s="1"/>
      <c r="D18" s="1"/>
      <c r="E18" s="1"/>
      <c r="F18" s="1"/>
      <c r="G18" s="1"/>
      <c r="H18" s="1"/>
    </row>
    <row r="19" spans="1:8" ht="15" customHeight="1" x14ac:dyDescent="0.35">
      <c r="A19" s="1" t="s">
        <v>22</v>
      </c>
      <c r="B19" s="1"/>
      <c r="C19" s="1"/>
      <c r="D19" s="1"/>
      <c r="E19" s="1" t="s">
        <v>23</v>
      </c>
      <c r="F19" s="1"/>
      <c r="G19" s="1"/>
      <c r="H19" s="1"/>
    </row>
    <row r="20" spans="1:8" ht="15" customHeight="1" x14ac:dyDescent="0.35">
      <c r="A20" s="7" t="s">
        <v>24</v>
      </c>
      <c r="B20" s="7" t="s">
        <v>25</v>
      </c>
      <c r="C20" s="7" t="s">
        <v>26</v>
      </c>
      <c r="E20" s="7" t="s">
        <v>24</v>
      </c>
      <c r="F20" s="7" t="s">
        <v>25</v>
      </c>
      <c r="G20" s="7" t="s">
        <v>26</v>
      </c>
    </row>
    <row r="21" spans="1:8" ht="15" customHeight="1" x14ac:dyDescent="0.35">
      <c r="A21" s="11">
        <v>1</v>
      </c>
      <c r="B21" s="12" t="str">
        <f>INDEX(Estadisticos!$A$13:$A$34,MATCH(C21,Estadisticos!$I$13:$I$34,0))</f>
        <v>Irlanda</v>
      </c>
      <c r="C21" s="9">
        <f>LARGE(Estadisticos!$I$13:$I$34,1)</f>
        <v>5.7852529238859862E-2</v>
      </c>
      <c r="E21" s="11">
        <v>1</v>
      </c>
      <c r="F21" s="12" t="str">
        <f>INDEX(Estadisticos!$A$13:$A$34,MATCH(G21,Estadisticos!$I$13:$I$34,0))</f>
        <v>Italia</v>
      </c>
      <c r="G21" s="9">
        <f>SMALL(Estadisticos!$I$13:$I$34,1)</f>
        <v>7.9574704609699509E-3</v>
      </c>
    </row>
    <row r="22" spans="1:8" ht="15" customHeight="1" x14ac:dyDescent="0.35">
      <c r="A22" s="11">
        <v>2</v>
      </c>
      <c r="B22" s="12" t="str">
        <f>INDEX(Estadisticos!$A$13:$A$34,MATCH(C22,Estadisticos!$I$13:$I$34,0))</f>
        <v>Malta</v>
      </c>
      <c r="C22" s="9">
        <f>LARGE(Estadisticos!$I$13:$I$34,2)</f>
        <v>5.161072698653113E-2</v>
      </c>
      <c r="E22" s="11">
        <v>2</v>
      </c>
      <c r="F22" s="12" t="str">
        <f>INDEX(Estadisticos!$A$13:$A$34,MATCH(G22,Estadisticos!$I$13:$I$34,0))</f>
        <v>Grecia</v>
      </c>
      <c r="G22" s="9">
        <f>SMALL(Estadisticos!$I$13:$I$34,2)</f>
        <v>1.0694623318662444E-2</v>
      </c>
    </row>
    <row r="23" spans="1:8" ht="15" customHeight="1" x14ac:dyDescent="0.35">
      <c r="A23" s="11">
        <v>3</v>
      </c>
      <c r="B23" s="12" t="str">
        <f>INDEX(Estadisticos!$A$13:$A$34,MATCH(C23,Estadisticos!$I$13:$I$34,0))</f>
        <v>Eslovaquia</v>
      </c>
      <c r="C23" s="9">
        <f>LARGE(Estadisticos!$I$13:$I$34,3)</f>
        <v>3.4924999970781911E-2</v>
      </c>
      <c r="E23" s="11">
        <v>3</v>
      </c>
      <c r="F23" s="12" t="str">
        <f>INDEX(Estadisticos!$A$13:$A$34,MATCH(G23,Estadisticos!$I$13:$I$34,0))</f>
        <v>Alemania</v>
      </c>
      <c r="G23" s="9">
        <f>SMALL(Estadisticos!$I$13:$I$34,3)</f>
        <v>1.2388894161404318E-2</v>
      </c>
    </row>
    <row r="24" spans="1:8" ht="15" customHeight="1" x14ac:dyDescent="0.35">
      <c r="A24" s="11">
        <v>4</v>
      </c>
      <c r="B24" s="12" t="str">
        <f>INDEX(Estadisticos!$A$13:$A$34,MATCH(C24,Estadisticos!$I$13:$I$34,0))</f>
        <v>Chipre</v>
      </c>
      <c r="C24" s="9">
        <f>LARGE(Estadisticos!$I$13:$I$34,4)</f>
        <v>3.4672403110761918E-2</v>
      </c>
      <c r="E24" s="11">
        <v>4</v>
      </c>
      <c r="F24" s="12" t="str">
        <f>INDEX(Estadisticos!$A$13:$A$34,MATCH(G24,Estadisticos!$I$13:$I$34,0))</f>
        <v>Portugal</v>
      </c>
      <c r="G24" s="9">
        <f>SMALL(Estadisticos!$I$13:$I$34,4)</f>
        <v>1.5452965641197247E-2</v>
      </c>
    </row>
    <row r="25" spans="1:8" ht="15" customHeight="1" x14ac:dyDescent="0.35">
      <c r="A25" s="11">
        <v>5</v>
      </c>
      <c r="B25" s="12" t="str">
        <f>INDEX(Estadisticos!$A$13:$A$34,MATCH(C25,Estadisticos!$I$13:$I$34,0))</f>
        <v>Lituania</v>
      </c>
      <c r="C25" s="9">
        <f>LARGE(Estadisticos!$I$13:$I$34,5)</f>
        <v>3.4666184563029612E-2</v>
      </c>
      <c r="E25" s="11">
        <v>5</v>
      </c>
      <c r="F25" s="12" t="str">
        <f>INDEX(Estadisticos!$A$13:$A$34,MATCH(G25,Estadisticos!$I$13:$I$34,0))</f>
        <v>Francia</v>
      </c>
      <c r="G25" s="9">
        <f>SMALL(Estadisticos!$I$13:$I$34,5)</f>
        <v>1.5862968769229546E-2</v>
      </c>
    </row>
    <row r="28" spans="1:8" ht="15" customHeight="1" x14ac:dyDescent="0.35">
      <c r="A28" s="13" t="s">
        <v>27</v>
      </c>
    </row>
    <row r="29" spans="1:8" ht="15" customHeight="1" x14ac:dyDescent="0.35">
      <c r="A29" s="14" t="s">
        <v>28</v>
      </c>
    </row>
    <row r="30" spans="1:8" ht="15" customHeight="1" x14ac:dyDescent="0.35">
      <c r="A30" s="15" t="s">
        <v>29</v>
      </c>
    </row>
    <row r="31" spans="1:8" ht="15" customHeight="1" x14ac:dyDescent="0.35">
      <c r="A31" s="16" t="s">
        <v>30</v>
      </c>
    </row>
  </sheetData>
  <mergeCells count="6">
    <mergeCell ref="A2:H2"/>
    <mergeCell ref="A4:H4"/>
    <mergeCell ref="A11:H11"/>
    <mergeCell ref="A18:H18"/>
    <mergeCell ref="A19:D19"/>
    <mergeCell ref="E19:H1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0"/>
  <sheetViews>
    <sheetView zoomScale="60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G31" sqref="G31"/>
    </sheetView>
  </sheetViews>
  <sheetFormatPr baseColWidth="10" defaultColWidth="8.6328125" defaultRowHeight="14.5" x14ac:dyDescent="0.35"/>
  <cols>
    <col min="1" max="1" width="79.36328125" bestFit="1" customWidth="1"/>
    <col min="2" max="2" width="14" bestFit="1" customWidth="1"/>
    <col min="3" max="3" width="8.90625" bestFit="1" customWidth="1"/>
    <col min="4" max="4" width="17.81640625" customWidth="1"/>
    <col min="5" max="35" width="17.81640625" bestFit="1" customWidth="1"/>
  </cols>
  <sheetData>
    <row r="1" spans="1:35" ht="17.25" customHeight="1" x14ac:dyDescent="0.4">
      <c r="A1" s="3" t="s">
        <v>31</v>
      </c>
    </row>
    <row r="2" spans="1:35" ht="15" customHeight="1" x14ac:dyDescent="0.35">
      <c r="A2" s="4" t="s">
        <v>32</v>
      </c>
    </row>
    <row r="4" spans="1:35" ht="15" customHeight="1" x14ac:dyDescent="0.35">
      <c r="A4" s="7" t="s">
        <v>25</v>
      </c>
      <c r="B4" s="7" t="s">
        <v>33</v>
      </c>
      <c r="C4" s="7" t="s">
        <v>3</v>
      </c>
      <c r="D4" s="7" t="s">
        <v>4</v>
      </c>
      <c r="E4" s="7" t="s">
        <v>34</v>
      </c>
      <c r="F4" s="7" t="s">
        <v>35</v>
      </c>
      <c r="G4" s="7" t="s">
        <v>36</v>
      </c>
      <c r="H4" s="7" t="s">
        <v>37</v>
      </c>
      <c r="I4" s="7" t="s">
        <v>38</v>
      </c>
      <c r="J4" s="7" t="s">
        <v>39</v>
      </c>
      <c r="K4" s="7" t="s">
        <v>5</v>
      </c>
      <c r="L4" s="7" t="s">
        <v>40</v>
      </c>
      <c r="M4" s="7" t="s">
        <v>41</v>
      </c>
      <c r="N4" s="7" t="s">
        <v>42</v>
      </c>
      <c r="O4" s="7" t="s">
        <v>43</v>
      </c>
      <c r="P4" s="7" t="s">
        <v>44</v>
      </c>
      <c r="Q4" s="7" t="s">
        <v>45</v>
      </c>
      <c r="R4" s="7" t="s">
        <v>46</v>
      </c>
      <c r="S4" s="7" t="s">
        <v>6</v>
      </c>
      <c r="T4" s="7" t="s">
        <v>7</v>
      </c>
      <c r="U4" s="7" t="s">
        <v>47</v>
      </c>
      <c r="V4" s="7" t="s">
        <v>48</v>
      </c>
      <c r="W4" s="7" t="s">
        <v>49</v>
      </c>
      <c r="X4" s="7" t="s">
        <v>50</v>
      </c>
      <c r="Y4" s="7" t="s">
        <v>51</v>
      </c>
      <c r="Z4" s="7" t="s">
        <v>52</v>
      </c>
      <c r="AA4" s="7" t="s">
        <v>53</v>
      </c>
      <c r="AB4" s="7" t="s">
        <v>54</v>
      </c>
      <c r="AC4" s="7" t="s">
        <v>55</v>
      </c>
      <c r="AD4" s="7" t="s">
        <v>56</v>
      </c>
      <c r="AE4" s="7" t="s">
        <v>8</v>
      </c>
      <c r="AF4" s="7" t="s">
        <v>57</v>
      </c>
      <c r="AG4" s="7" t="s">
        <v>58</v>
      </c>
      <c r="AH4" s="7" t="s">
        <v>59</v>
      </c>
      <c r="AI4" s="7" t="s">
        <v>9</v>
      </c>
    </row>
    <row r="5" spans="1:35" ht="15" customHeight="1" x14ac:dyDescent="0.35">
      <c r="A5" s="17" t="s">
        <v>60</v>
      </c>
      <c r="B5" s="11" t="s">
        <v>61</v>
      </c>
      <c r="C5" s="11" t="s">
        <v>10</v>
      </c>
      <c r="D5" s="18">
        <v>2510330187123.3198</v>
      </c>
      <c r="E5" s="18">
        <v>2575519839599.4502</v>
      </c>
      <c r="F5" s="18">
        <v>2614281254585.2598</v>
      </c>
      <c r="G5" s="18">
        <v>2641414240990.6602</v>
      </c>
      <c r="H5" s="18">
        <v>2690394576515.0601</v>
      </c>
      <c r="I5" s="18">
        <v>2746774816494.4199</v>
      </c>
      <c r="J5" s="18">
        <v>2805269313430.6699</v>
      </c>
      <c r="K5" s="18">
        <v>2885963533943.4702</v>
      </c>
      <c r="L5" s="18">
        <v>2933181986968.52</v>
      </c>
      <c r="M5" s="18">
        <v>2926486831428.6299</v>
      </c>
      <c r="N5" s="18">
        <v>2910982263391.9702</v>
      </c>
      <c r="O5" s="18">
        <v>2944810405337.25</v>
      </c>
      <c r="P5" s="18">
        <v>2970886268370.04</v>
      </c>
      <c r="Q5" s="18">
        <v>3085761005285.6499</v>
      </c>
      <c r="R5" s="18">
        <v>3174912263837.6802</v>
      </c>
      <c r="S5" s="18">
        <v>3203102383827.3599</v>
      </c>
      <c r="T5" s="18">
        <v>3025504625850.0498</v>
      </c>
      <c r="U5" s="18">
        <v>3150598283304.25</v>
      </c>
      <c r="V5" s="18">
        <v>3268996785218.5698</v>
      </c>
      <c r="W5" s="18">
        <v>3284148978797.6899</v>
      </c>
      <c r="X5" s="18">
        <v>3297186905208.25</v>
      </c>
      <c r="Y5" s="18">
        <v>3369071713224.27</v>
      </c>
      <c r="Z5" s="18">
        <v>3425099578746.0898</v>
      </c>
      <c r="AA5" s="18">
        <v>3501212900675.8901</v>
      </c>
      <c r="AB5" s="18">
        <v>3599173571724.7002</v>
      </c>
      <c r="AC5" s="18">
        <v>3640049243667.3999</v>
      </c>
      <c r="AD5" s="18">
        <v>3675639268112.04</v>
      </c>
      <c r="AE5" s="18">
        <v>3523764998709.9702</v>
      </c>
      <c r="AF5" s="18">
        <v>3661544208117.2002</v>
      </c>
      <c r="AG5" s="18">
        <v>3727790994177.6201</v>
      </c>
      <c r="AH5" s="18">
        <v>3695372350062.48</v>
      </c>
      <c r="AI5" s="18">
        <v>3677048776153.8599</v>
      </c>
    </row>
    <row r="6" spans="1:35" ht="15" customHeight="1" x14ac:dyDescent="0.35">
      <c r="A6" s="17" t="s">
        <v>62</v>
      </c>
      <c r="B6" s="11" t="s">
        <v>63</v>
      </c>
      <c r="C6" s="11" t="s">
        <v>10</v>
      </c>
      <c r="D6" s="18">
        <v>254046171814.293</v>
      </c>
      <c r="E6" s="18">
        <v>260148661734.73499</v>
      </c>
      <c r="F6" s="18">
        <v>267089386116.81201</v>
      </c>
      <c r="G6" s="18">
        <v>273007464944.44</v>
      </c>
      <c r="H6" s="18">
        <v>278865754830.70697</v>
      </c>
      <c r="I6" s="18">
        <v>288606201090.64697</v>
      </c>
      <c r="J6" s="18">
        <v>299463348050.58301</v>
      </c>
      <c r="K6" s="18">
        <v>309014800203.26599</v>
      </c>
      <c r="L6" s="18">
        <v>313084486481.84698</v>
      </c>
      <c r="M6" s="18">
        <v>317731814841.84998</v>
      </c>
      <c r="N6" s="18">
        <v>321358930178.28802</v>
      </c>
      <c r="O6" s="18">
        <v>329602607297.43402</v>
      </c>
      <c r="P6" s="18">
        <v>337250591306.48798</v>
      </c>
      <c r="Q6" s="18">
        <v>348276446349.07501</v>
      </c>
      <c r="R6" s="18">
        <v>361424664731.66901</v>
      </c>
      <c r="S6" s="18">
        <v>366677269701.41602</v>
      </c>
      <c r="T6" s="18">
        <v>353527252121.64001</v>
      </c>
      <c r="U6" s="18">
        <v>359922497999.32599</v>
      </c>
      <c r="V6" s="18">
        <v>370459113959.14502</v>
      </c>
      <c r="W6" s="18">
        <v>372786509411.40302</v>
      </c>
      <c r="X6" s="18">
        <v>371851835129.742</v>
      </c>
      <c r="Y6" s="18">
        <v>374662287024.534</v>
      </c>
      <c r="Z6" s="18">
        <v>379546097300.633</v>
      </c>
      <c r="AA6" s="18">
        <v>387581921834.297</v>
      </c>
      <c r="AB6" s="18">
        <v>396388751744.59198</v>
      </c>
      <c r="AC6" s="18">
        <v>406235924915.185</v>
      </c>
      <c r="AD6" s="18">
        <v>413365268699.04901</v>
      </c>
      <c r="AE6" s="18">
        <v>387247796560.50098</v>
      </c>
      <c r="AF6" s="18">
        <v>406312360757.92902</v>
      </c>
      <c r="AG6" s="18">
        <v>427972725600.49597</v>
      </c>
      <c r="AH6" s="18">
        <v>424607814488.71997</v>
      </c>
      <c r="AI6" s="18">
        <v>421809268656.55402</v>
      </c>
    </row>
    <row r="7" spans="1:35" ht="15" customHeight="1" x14ac:dyDescent="0.35">
      <c r="A7" s="17" t="s">
        <v>64</v>
      </c>
      <c r="B7" s="11" t="s">
        <v>65</v>
      </c>
      <c r="C7" s="11" t="s">
        <v>10</v>
      </c>
      <c r="D7" s="18">
        <v>302205439885.58197</v>
      </c>
      <c r="E7" s="18">
        <v>311957523163.91803</v>
      </c>
      <c r="F7" s="18">
        <v>319396952810.43903</v>
      </c>
      <c r="G7" s="18">
        <v>323617566812.87402</v>
      </c>
      <c r="H7" s="18">
        <v>335894554716.99597</v>
      </c>
      <c r="I7" s="18">
        <v>342484242936.573</v>
      </c>
      <c r="J7" s="18">
        <v>354617493817.97198</v>
      </c>
      <c r="K7" s="18">
        <v>367797580320.04797</v>
      </c>
      <c r="L7" s="18">
        <v>371841895842.95398</v>
      </c>
      <c r="M7" s="18">
        <v>378188843981.10901</v>
      </c>
      <c r="N7" s="18">
        <v>382114274683.52802</v>
      </c>
      <c r="O7" s="18">
        <v>395760365336.901</v>
      </c>
      <c r="P7" s="18">
        <v>404948883847.34497</v>
      </c>
      <c r="Q7" s="18">
        <v>415284559725.448</v>
      </c>
      <c r="R7" s="18">
        <v>430554259966.47198</v>
      </c>
      <c r="S7" s="18">
        <v>432478429044.82703</v>
      </c>
      <c r="T7" s="18">
        <v>424233482718.83398</v>
      </c>
      <c r="U7" s="18">
        <v>435731531598.61603</v>
      </c>
      <c r="V7" s="18">
        <v>444146182962.729</v>
      </c>
      <c r="W7" s="18">
        <v>445104666468.521</v>
      </c>
      <c r="X7" s="18">
        <v>446464436962.23999</v>
      </c>
      <c r="Y7" s="18">
        <v>454346946885.841</v>
      </c>
      <c r="Z7" s="18">
        <v>461044767544.53101</v>
      </c>
      <c r="AA7" s="18">
        <v>466547349432.05499</v>
      </c>
      <c r="AB7" s="18">
        <v>473426439010.71997</v>
      </c>
      <c r="AC7" s="18">
        <v>482317238282.14502</v>
      </c>
      <c r="AD7" s="18">
        <v>494099718080.56897</v>
      </c>
      <c r="AE7" s="18">
        <v>470417598101.755</v>
      </c>
      <c r="AF7" s="18">
        <v>499839663858.82703</v>
      </c>
      <c r="AG7" s="18">
        <v>519614510458.48798</v>
      </c>
      <c r="AH7" s="18">
        <v>528521336864.414</v>
      </c>
      <c r="AI7" s="18">
        <v>534178915343.83698</v>
      </c>
    </row>
    <row r="8" spans="1:35" ht="15" customHeight="1" x14ac:dyDescent="0.35">
      <c r="A8" s="17" t="s">
        <v>66</v>
      </c>
      <c r="B8" s="11" t="s">
        <v>67</v>
      </c>
      <c r="C8" s="11" t="s">
        <v>10</v>
      </c>
      <c r="D8" s="18">
        <v>11033726777.696899</v>
      </c>
      <c r="E8" s="18">
        <v>11684716578.715401</v>
      </c>
      <c r="F8" s="18">
        <v>12661847363.650999</v>
      </c>
      <c r="G8" s="18">
        <v>12819935779.5217</v>
      </c>
      <c r="H8" s="18">
        <v>13158501394.566</v>
      </c>
      <c r="I8" s="18">
        <v>13962602012.6924</v>
      </c>
      <c r="J8" s="18">
        <v>14660446535.5061</v>
      </c>
      <c r="K8" s="18">
        <v>15534986805.803101</v>
      </c>
      <c r="L8" s="18">
        <v>16149016881.4093</v>
      </c>
      <c r="M8" s="18">
        <v>16750240728.3241</v>
      </c>
      <c r="N8" s="18">
        <v>17189649730.227501</v>
      </c>
      <c r="O8" s="18">
        <v>18053648327.353199</v>
      </c>
      <c r="P8" s="18">
        <v>18929789645.954899</v>
      </c>
      <c r="Q8" s="18">
        <v>19822098963.138802</v>
      </c>
      <c r="R8" s="18">
        <v>20832674395.668598</v>
      </c>
      <c r="S8" s="18">
        <v>21592439785.332901</v>
      </c>
      <c r="T8" s="18">
        <v>21157334409.903801</v>
      </c>
      <c r="U8" s="18">
        <v>21640286747.105202</v>
      </c>
      <c r="V8" s="18">
        <v>21730464390.338001</v>
      </c>
      <c r="W8" s="18">
        <v>20981332378.094398</v>
      </c>
      <c r="X8" s="18">
        <v>19599191826.1408</v>
      </c>
      <c r="Y8" s="18">
        <v>19251098679.034599</v>
      </c>
      <c r="Z8" s="18">
        <v>19909278416.857498</v>
      </c>
      <c r="AA8" s="18">
        <v>21218032913.055401</v>
      </c>
      <c r="AB8" s="18">
        <v>22438246417.151402</v>
      </c>
      <c r="AC8" s="18">
        <v>23845497750.3008</v>
      </c>
      <c r="AD8" s="18">
        <v>25246562822.682098</v>
      </c>
      <c r="AE8" s="18">
        <v>24433464399.392502</v>
      </c>
      <c r="AF8" s="18">
        <v>27218282939.640999</v>
      </c>
      <c r="AG8" s="18">
        <v>29470249084.605801</v>
      </c>
      <c r="AH8" s="18">
        <v>30536911914.859501</v>
      </c>
      <c r="AI8" s="18">
        <v>31740302544.146301</v>
      </c>
    </row>
    <row r="9" spans="1:35" ht="15" customHeight="1" x14ac:dyDescent="0.35">
      <c r="A9" s="17" t="s">
        <v>68</v>
      </c>
      <c r="B9" s="11" t="s">
        <v>69</v>
      </c>
      <c r="C9" s="11" t="s">
        <v>10</v>
      </c>
      <c r="D9" s="18">
        <v>29860844322.419899</v>
      </c>
      <c r="E9" s="18">
        <v>31613817618.237598</v>
      </c>
      <c r="F9" s="18">
        <v>33747976036.350399</v>
      </c>
      <c r="G9" s="18">
        <v>35809633429.591904</v>
      </c>
      <c r="H9" s="18">
        <v>38018368234.564201</v>
      </c>
      <c r="I9" s="18">
        <v>38874419434.949501</v>
      </c>
      <c r="J9" s="18">
        <v>38544494402.668999</v>
      </c>
      <c r="K9" s="18">
        <v>39679727338.705399</v>
      </c>
      <c r="L9" s="18">
        <v>40914256867.749199</v>
      </c>
      <c r="M9" s="18">
        <v>43288645498.5317</v>
      </c>
      <c r="N9" s="18">
        <v>45699118672.156998</v>
      </c>
      <c r="O9" s="18">
        <v>47604993515.2593</v>
      </c>
      <c r="P9" s="18">
        <v>49664897966.628197</v>
      </c>
      <c r="Q9" s="18">
        <v>52182450238.361099</v>
      </c>
      <c r="R9" s="18">
        <v>54817286358.391899</v>
      </c>
      <c r="S9" s="18">
        <v>55898760192.629204</v>
      </c>
      <c r="T9" s="18">
        <v>52090762145.946999</v>
      </c>
      <c r="U9" s="18">
        <v>51394805225.024002</v>
      </c>
      <c r="V9" s="18">
        <v>51337804931.0411</v>
      </c>
      <c r="W9" s="18">
        <v>50189155633.396599</v>
      </c>
      <c r="X9" s="18">
        <v>50122079966.691902</v>
      </c>
      <c r="Y9" s="18">
        <v>49842552678.561401</v>
      </c>
      <c r="Z9" s="18">
        <v>50998893384.828903</v>
      </c>
      <c r="AA9" s="18">
        <v>52766750207.313698</v>
      </c>
      <c r="AB9" s="18">
        <v>54499590874.627502</v>
      </c>
      <c r="AC9" s="18">
        <v>56086115348.75</v>
      </c>
      <c r="AD9" s="18">
        <v>57825641269.215103</v>
      </c>
      <c r="AE9" s="18">
        <v>53019830857.522003</v>
      </c>
      <c r="AF9" s="18">
        <v>59717412023.485001</v>
      </c>
      <c r="AG9" s="18">
        <v>64073470836.977203</v>
      </c>
      <c r="AH9" s="18">
        <v>66483687609.844002</v>
      </c>
      <c r="AI9" s="18">
        <v>69027943227.324402</v>
      </c>
    </row>
    <row r="10" spans="1:35" ht="15" customHeight="1" x14ac:dyDescent="0.35">
      <c r="A10" s="17" t="s">
        <v>70</v>
      </c>
      <c r="B10" s="11" t="s">
        <v>71</v>
      </c>
      <c r="C10" s="11" t="s">
        <v>10</v>
      </c>
      <c r="D10" s="18">
        <v>36994071827.202797</v>
      </c>
      <c r="E10" s="18">
        <v>39289750244.661102</v>
      </c>
      <c r="F10" s="18">
        <v>41585644560.508797</v>
      </c>
      <c r="G10" s="18">
        <v>44130510842.874397</v>
      </c>
      <c r="H10" s="18">
        <v>46551440140.742798</v>
      </c>
      <c r="I10" s="18">
        <v>48332548393.003799</v>
      </c>
      <c r="J10" s="18">
        <v>48103809189.838402</v>
      </c>
      <c r="K10" s="18">
        <v>48483456226.778999</v>
      </c>
      <c r="L10" s="18">
        <v>49901675269.469597</v>
      </c>
      <c r="M10" s="18">
        <v>52105958758.2435</v>
      </c>
      <c r="N10" s="18">
        <v>54636588083.957397</v>
      </c>
      <c r="O10" s="18">
        <v>57581226217.421402</v>
      </c>
      <c r="P10" s="18">
        <v>61315329710.646004</v>
      </c>
      <c r="Q10" s="18">
        <v>66788144152.885101</v>
      </c>
      <c r="R10" s="18">
        <v>74013706023.714294</v>
      </c>
      <c r="S10" s="18">
        <v>77983340266.583298</v>
      </c>
      <c r="T10" s="18">
        <v>73690093871.6194</v>
      </c>
      <c r="U10" s="18">
        <v>78694079820.768799</v>
      </c>
      <c r="V10" s="18">
        <v>80710556384.838394</v>
      </c>
      <c r="W10" s="18">
        <v>81977043067.523697</v>
      </c>
      <c r="X10" s="18">
        <v>82553606913.115097</v>
      </c>
      <c r="Y10" s="18">
        <v>84789118561.788895</v>
      </c>
      <c r="Z10" s="18">
        <v>89178548717.332397</v>
      </c>
      <c r="AA10" s="18">
        <v>90915584911.697296</v>
      </c>
      <c r="AB10" s="18">
        <v>93529165482.893799</v>
      </c>
      <c r="AC10" s="18">
        <v>97328432250.486893</v>
      </c>
      <c r="AD10" s="18">
        <v>99543529164.308594</v>
      </c>
      <c r="AE10" s="18">
        <v>96969818857.114807</v>
      </c>
      <c r="AF10" s="18">
        <v>102454294896.646</v>
      </c>
      <c r="AG10" s="18">
        <v>103012252413.418</v>
      </c>
      <c r="AH10" s="18">
        <v>105188526684.47</v>
      </c>
      <c r="AI10" s="18">
        <v>107227789781.41299</v>
      </c>
    </row>
    <row r="11" spans="1:35" ht="15" customHeight="1" x14ac:dyDescent="0.35">
      <c r="A11" s="17" t="s">
        <v>72</v>
      </c>
      <c r="B11" s="11" t="s">
        <v>73</v>
      </c>
      <c r="C11" s="11" t="s">
        <v>10</v>
      </c>
      <c r="D11" s="18">
        <v>24096823248.3298</v>
      </c>
      <c r="E11" s="18">
        <v>25380578071.3083</v>
      </c>
      <c r="F11" s="18">
        <v>26422998604.283401</v>
      </c>
      <c r="G11" s="18">
        <v>27192863782.393799</v>
      </c>
      <c r="H11" s="18">
        <v>28599098754.726101</v>
      </c>
      <c r="I11" s="18">
        <v>29475325366.133202</v>
      </c>
      <c r="J11" s="18">
        <v>31028087570.953201</v>
      </c>
      <c r="K11" s="18">
        <v>32113425072.019299</v>
      </c>
      <c r="L11" s="18">
        <v>33021812643.961899</v>
      </c>
      <c r="M11" s="18">
        <v>34105781287.8601</v>
      </c>
      <c r="N11" s="18">
        <v>35195471631.584297</v>
      </c>
      <c r="O11" s="18">
        <v>36795465565.473602</v>
      </c>
      <c r="P11" s="18">
        <v>38213609800.392097</v>
      </c>
      <c r="Q11" s="18">
        <v>40471568430.375298</v>
      </c>
      <c r="R11" s="18">
        <v>43360927307.905998</v>
      </c>
      <c r="S11" s="18">
        <v>44823161262.412598</v>
      </c>
      <c r="T11" s="18">
        <v>41420820595.910103</v>
      </c>
      <c r="U11" s="18">
        <v>41881476947.431</v>
      </c>
      <c r="V11" s="18">
        <v>42155984116.072998</v>
      </c>
      <c r="W11" s="18">
        <v>40926910455.605103</v>
      </c>
      <c r="X11" s="18">
        <v>40589764218.781998</v>
      </c>
      <c r="Y11" s="18">
        <v>41711191731.429802</v>
      </c>
      <c r="Z11" s="18">
        <v>42709468274.813698</v>
      </c>
      <c r="AA11" s="18">
        <v>44005450729.606003</v>
      </c>
      <c r="AB11" s="18">
        <v>46282469720.828102</v>
      </c>
      <c r="AC11" s="18">
        <v>48309217703.413498</v>
      </c>
      <c r="AD11" s="18">
        <v>50002578162.673401</v>
      </c>
      <c r="AE11" s="18">
        <v>47959972369.989197</v>
      </c>
      <c r="AF11" s="18">
        <v>51996698295.659302</v>
      </c>
      <c r="AG11" s="18">
        <v>53384233078.316399</v>
      </c>
      <c r="AH11" s="18">
        <v>54652553125.664597</v>
      </c>
      <c r="AI11" s="18">
        <v>55598805913.761902</v>
      </c>
    </row>
    <row r="12" spans="1:35" ht="15" customHeight="1" x14ac:dyDescent="0.35">
      <c r="A12" s="17" t="s">
        <v>74</v>
      </c>
      <c r="B12" s="11" t="s">
        <v>75</v>
      </c>
      <c r="C12" s="11" t="s">
        <v>10</v>
      </c>
      <c r="D12" s="18">
        <v>763391725887.25195</v>
      </c>
      <c r="E12" s="18">
        <v>781584842222.94495</v>
      </c>
      <c r="F12" s="18">
        <v>803136997375.09497</v>
      </c>
      <c r="G12" s="18">
        <v>824078081163.90906</v>
      </c>
      <c r="H12" s="18">
        <v>853640231891.44495</v>
      </c>
      <c r="I12" s="18">
        <v>890363642200.01904</v>
      </c>
      <c r="J12" s="18">
        <v>929618577227.57495</v>
      </c>
      <c r="K12" s="18">
        <v>977964704474.03101</v>
      </c>
      <c r="L12" s="18">
        <v>1016292009754.13</v>
      </c>
      <c r="M12" s="18">
        <v>1044295490089.67</v>
      </c>
      <c r="N12" s="18">
        <v>1074990358774.14</v>
      </c>
      <c r="O12" s="18">
        <v>1108471271904.22</v>
      </c>
      <c r="P12" s="18">
        <v>1147835587310.1599</v>
      </c>
      <c r="Q12" s="18">
        <v>1194247574981.1299</v>
      </c>
      <c r="R12" s="18">
        <v>1236446314615.4299</v>
      </c>
      <c r="S12" s="18">
        <v>1245931907237.1599</v>
      </c>
      <c r="T12" s="18">
        <v>1198983535018.3401</v>
      </c>
      <c r="U12" s="18">
        <v>1200112046037.6499</v>
      </c>
      <c r="V12" s="18">
        <v>1192432281393.6899</v>
      </c>
      <c r="W12" s="18">
        <v>1158267740898.6899</v>
      </c>
      <c r="X12" s="18">
        <v>1141735527746.3501</v>
      </c>
      <c r="Y12" s="18">
        <v>1159095455877.4399</v>
      </c>
      <c r="Z12" s="18">
        <v>1206164777553.1201</v>
      </c>
      <c r="AA12" s="18">
        <v>1241326362266.48</v>
      </c>
      <c r="AB12" s="18">
        <v>1277275696051.0901</v>
      </c>
      <c r="AC12" s="18">
        <v>1307871701701.26</v>
      </c>
      <c r="AD12" s="18">
        <v>1333521400432.6899</v>
      </c>
      <c r="AE12" s="18">
        <v>1187633217292.02</v>
      </c>
      <c r="AF12" s="18">
        <v>1267004457826.9199</v>
      </c>
      <c r="AG12" s="18">
        <v>1347716659731.45</v>
      </c>
      <c r="AH12" s="18">
        <v>1380882052539.27</v>
      </c>
      <c r="AI12" s="18">
        <v>1428595035672.3701</v>
      </c>
    </row>
    <row r="13" spans="1:35" ht="15" customHeight="1" x14ac:dyDescent="0.35">
      <c r="A13" s="17" t="s">
        <v>76</v>
      </c>
      <c r="B13" s="11" t="s">
        <v>77</v>
      </c>
      <c r="C13" s="11" t="s">
        <v>10</v>
      </c>
      <c r="D13" s="18">
        <v>10020459081.6078</v>
      </c>
      <c r="E13" s="18">
        <v>9855880594.3640499</v>
      </c>
      <c r="F13" s="18">
        <v>10302024946.6889</v>
      </c>
      <c r="G13" s="18">
        <v>10811255302.9678</v>
      </c>
      <c r="H13" s="18">
        <v>12222126358.4524</v>
      </c>
      <c r="I13" s="18">
        <v>12752545572.922199</v>
      </c>
      <c r="J13" s="18">
        <v>12698344018.6504</v>
      </c>
      <c r="K13" s="18">
        <v>13979307068.9028</v>
      </c>
      <c r="L13" s="18">
        <v>14801394595.5546</v>
      </c>
      <c r="M13" s="18">
        <v>15827575405.1485</v>
      </c>
      <c r="N13" s="18">
        <v>17029885802.180599</v>
      </c>
      <c r="O13" s="18">
        <v>18188037434.550201</v>
      </c>
      <c r="P13" s="18">
        <v>19920094036.359798</v>
      </c>
      <c r="Q13" s="18">
        <v>21864807422.090099</v>
      </c>
      <c r="R13" s="18">
        <v>23520174236.2883</v>
      </c>
      <c r="S13" s="18">
        <v>22314692031.201401</v>
      </c>
      <c r="T13" s="18">
        <v>19050002927.298302</v>
      </c>
      <c r="U13" s="18">
        <v>19516680413.328999</v>
      </c>
      <c r="V13" s="18">
        <v>21001309333.012901</v>
      </c>
      <c r="W13" s="18">
        <v>21772481344.230099</v>
      </c>
      <c r="X13" s="18">
        <v>22154913628.324402</v>
      </c>
      <c r="Y13" s="18">
        <v>22891074856.693802</v>
      </c>
      <c r="Z13" s="18">
        <v>23311847750.9394</v>
      </c>
      <c r="AA13" s="18">
        <v>24032887679.5037</v>
      </c>
      <c r="AB13" s="18">
        <v>25387062190.046799</v>
      </c>
      <c r="AC13" s="18">
        <v>26326306710.8582</v>
      </c>
      <c r="AD13" s="18">
        <v>27307395871.0676</v>
      </c>
      <c r="AE13" s="18">
        <v>26519903136.8312</v>
      </c>
      <c r="AF13" s="18">
        <v>28709089435.118698</v>
      </c>
      <c r="AG13" s="18">
        <v>28357067289.115501</v>
      </c>
      <c r="AH13" s="18">
        <v>27578887219.405102</v>
      </c>
      <c r="AI13" s="18">
        <v>27554054399.259102</v>
      </c>
    </row>
    <row r="14" spans="1:35" ht="15" customHeight="1" x14ac:dyDescent="0.35">
      <c r="A14" s="17" t="s">
        <v>78</v>
      </c>
      <c r="B14" s="11" t="s">
        <v>79</v>
      </c>
      <c r="C14" s="11" t="s">
        <v>10</v>
      </c>
      <c r="D14" s="18">
        <v>140887056302.517</v>
      </c>
      <c r="E14" s="18">
        <v>146472344493.79999</v>
      </c>
      <c r="F14" s="18">
        <v>152674521262.38501</v>
      </c>
      <c r="G14" s="18">
        <v>158266465561.96899</v>
      </c>
      <c r="H14" s="18">
        <v>168391880311.83801</v>
      </c>
      <c r="I14" s="18">
        <v>177576428488.63501</v>
      </c>
      <c r="J14" s="18">
        <v>185370756398.689</v>
      </c>
      <c r="K14" s="18">
        <v>196036503503.62299</v>
      </c>
      <c r="L14" s="18">
        <v>201212380923.48499</v>
      </c>
      <c r="M14" s="18">
        <v>204607490634.56601</v>
      </c>
      <c r="N14" s="18">
        <v>208723783982.573</v>
      </c>
      <c r="O14" s="18">
        <v>217083963685.375</v>
      </c>
      <c r="P14" s="18">
        <v>223113056548.362</v>
      </c>
      <c r="Q14" s="18">
        <v>232081249320.45901</v>
      </c>
      <c r="R14" s="18">
        <v>244411266035.09601</v>
      </c>
      <c r="S14" s="18">
        <v>246328504349.487</v>
      </c>
      <c r="T14" s="18">
        <v>226434937568.65302</v>
      </c>
      <c r="U14" s="18">
        <v>233609048324.55301</v>
      </c>
      <c r="V14" s="18">
        <v>239193226293.28</v>
      </c>
      <c r="W14" s="18">
        <v>235550695854.07101</v>
      </c>
      <c r="X14" s="18">
        <v>233242909052.23401</v>
      </c>
      <c r="Y14" s="18">
        <v>232127848351.009</v>
      </c>
      <c r="Z14" s="18">
        <v>233210733506.25</v>
      </c>
      <c r="AA14" s="18">
        <v>239208760000.401</v>
      </c>
      <c r="AB14" s="18">
        <v>247110710501.52802</v>
      </c>
      <c r="AC14" s="18">
        <v>250058685918.64301</v>
      </c>
      <c r="AD14" s="18">
        <v>253433824168.60001</v>
      </c>
      <c r="AE14" s="18">
        <v>247120696232.09</v>
      </c>
      <c r="AF14" s="18">
        <v>253734502126.39301</v>
      </c>
      <c r="AG14" s="18">
        <v>255670602724.759</v>
      </c>
      <c r="AH14" s="18">
        <v>253269616816.41599</v>
      </c>
      <c r="AI14" s="18">
        <v>254323653957.12</v>
      </c>
    </row>
    <row r="15" spans="1:35" ht="15" customHeight="1" x14ac:dyDescent="0.35">
      <c r="A15" s="17" t="s">
        <v>80</v>
      </c>
      <c r="B15" s="11" t="s">
        <v>81</v>
      </c>
      <c r="C15" s="11" t="s">
        <v>10</v>
      </c>
      <c r="D15" s="18">
        <v>1670081815758.79</v>
      </c>
      <c r="E15" s="18">
        <v>1709890902349.4099</v>
      </c>
      <c r="F15" s="18">
        <v>1749300344479.7</v>
      </c>
      <c r="G15" s="18">
        <v>1773739467493.0601</v>
      </c>
      <c r="H15" s="18">
        <v>1818562957062.05</v>
      </c>
      <c r="I15" s="18">
        <v>1881350558837.76</v>
      </c>
      <c r="J15" s="18">
        <v>1945303460549.75</v>
      </c>
      <c r="K15" s="18">
        <v>2025858476151.3701</v>
      </c>
      <c r="L15" s="18">
        <v>2064338989612.96</v>
      </c>
      <c r="M15" s="18">
        <v>2086380974762.6001</v>
      </c>
      <c r="N15" s="18">
        <v>2106573536968.0801</v>
      </c>
      <c r="O15" s="18">
        <v>2166995343501.8899</v>
      </c>
      <c r="P15" s="18">
        <v>2207920477337.3398</v>
      </c>
      <c r="Q15" s="18">
        <v>2267844862926.1499</v>
      </c>
      <c r="R15" s="18">
        <v>2325232266328.6299</v>
      </c>
      <c r="S15" s="18">
        <v>2334072135222.3599</v>
      </c>
      <c r="T15" s="18">
        <v>2268145064848.79</v>
      </c>
      <c r="U15" s="18">
        <v>2313515332182.54</v>
      </c>
      <c r="V15" s="18">
        <v>2369909039106.4302</v>
      </c>
      <c r="W15" s="18">
        <v>2374265767668.0898</v>
      </c>
      <c r="X15" s="18">
        <v>2392826743357.4902</v>
      </c>
      <c r="Y15" s="18">
        <v>2416703156974.4102</v>
      </c>
      <c r="Z15" s="18">
        <v>2442483452642.5</v>
      </c>
      <c r="AA15" s="18">
        <v>2463489569347.3101</v>
      </c>
      <c r="AB15" s="18">
        <v>2514819204088.1401</v>
      </c>
      <c r="AC15" s="18">
        <v>2556210832760.02</v>
      </c>
      <c r="AD15" s="18">
        <v>2608036638906.1201</v>
      </c>
      <c r="AE15" s="18">
        <v>2413981867676.3599</v>
      </c>
      <c r="AF15" s="18">
        <v>2580120255051.75</v>
      </c>
      <c r="AG15" s="18">
        <v>2650215998256.0298</v>
      </c>
      <c r="AH15" s="18">
        <v>2688358302961.2202</v>
      </c>
      <c r="AI15" s="18">
        <v>2720362347819.8101</v>
      </c>
    </row>
    <row r="16" spans="1:35" ht="15" customHeight="1" x14ac:dyDescent="0.35">
      <c r="A16" s="17" t="s">
        <v>82</v>
      </c>
      <c r="B16" s="11" t="s">
        <v>83</v>
      </c>
      <c r="C16" s="11" t="s">
        <v>10</v>
      </c>
      <c r="D16" s="18">
        <v>160827443641.56601</v>
      </c>
      <c r="E16" s="18">
        <v>164043992268.73001</v>
      </c>
      <c r="F16" s="18">
        <v>167488456016.048</v>
      </c>
      <c r="G16" s="18">
        <v>169803934634.07501</v>
      </c>
      <c r="H16" s="18">
        <v>175921772178.59201</v>
      </c>
      <c r="I16" s="18">
        <v>181968090540.634</v>
      </c>
      <c r="J16" s="18">
        <v>186806231970.76199</v>
      </c>
      <c r="K16" s="18">
        <v>194535950663.83099</v>
      </c>
      <c r="L16" s="18">
        <v>203582678904.89899</v>
      </c>
      <c r="M16" s="18">
        <v>213116735217.242</v>
      </c>
      <c r="N16" s="18">
        <v>225470734593.33401</v>
      </c>
      <c r="O16" s="18">
        <v>237596249349.01401</v>
      </c>
      <c r="P16" s="18">
        <v>240408216059.142</v>
      </c>
      <c r="Q16" s="18">
        <v>255898673342.69901</v>
      </c>
      <c r="R16" s="18">
        <v>264872706550.759</v>
      </c>
      <c r="S16" s="18">
        <v>265024939553.215</v>
      </c>
      <c r="T16" s="18">
        <v>254107830646.22101</v>
      </c>
      <c r="U16" s="18">
        <v>239639588360.14099</v>
      </c>
      <c r="V16" s="18">
        <v>215970916413.20401</v>
      </c>
      <c r="W16" s="18">
        <v>197978089510.09299</v>
      </c>
      <c r="X16" s="18">
        <v>193479795684.276</v>
      </c>
      <c r="Y16" s="18">
        <v>195012591113.58701</v>
      </c>
      <c r="Z16" s="18">
        <v>194567373678.099</v>
      </c>
      <c r="AA16" s="18">
        <v>194505511433.34299</v>
      </c>
      <c r="AB16" s="18">
        <v>197370820217.69199</v>
      </c>
      <c r="AC16" s="18">
        <v>201445880434.67001</v>
      </c>
      <c r="AD16" s="18">
        <v>206033167050.89499</v>
      </c>
      <c r="AE16" s="18">
        <v>187085880047.73801</v>
      </c>
      <c r="AF16" s="18">
        <v>203277223532.871</v>
      </c>
      <c r="AG16" s="18">
        <v>214502162962.97198</v>
      </c>
      <c r="AH16" s="18">
        <v>219083738943.271</v>
      </c>
      <c r="AI16" s="18">
        <v>223655084018.92401</v>
      </c>
    </row>
    <row r="17" spans="1:35" ht="15" customHeight="1" x14ac:dyDescent="0.35">
      <c r="A17" s="17" t="s">
        <v>84</v>
      </c>
      <c r="B17" s="11" t="s">
        <v>85</v>
      </c>
      <c r="C17" s="11" t="s">
        <v>10</v>
      </c>
      <c r="D17" s="18">
        <v>89164687696.489197</v>
      </c>
      <c r="E17" s="18">
        <v>94296853730.836197</v>
      </c>
      <c r="F17" s="18">
        <v>103381809953.759</v>
      </c>
      <c r="G17" s="18">
        <v>111010999492.64101</v>
      </c>
      <c r="H17" s="18">
        <v>123246371072.28101</v>
      </c>
      <c r="I17" s="18">
        <v>134050299130.92799</v>
      </c>
      <c r="J17" s="18">
        <v>148165642333.121</v>
      </c>
      <c r="K17" s="18">
        <v>162098435201.64999</v>
      </c>
      <c r="L17" s="18">
        <v>170699088560.51199</v>
      </c>
      <c r="M17" s="18">
        <v>180769250950.138</v>
      </c>
      <c r="N17" s="18">
        <v>186217344582.05499</v>
      </c>
      <c r="O17" s="18">
        <v>198858038461.92099</v>
      </c>
      <c r="P17" s="18">
        <v>210272056411.31699</v>
      </c>
      <c r="Q17" s="18">
        <v>220760118842.237</v>
      </c>
      <c r="R17" s="18">
        <v>232482742331.81799</v>
      </c>
      <c r="S17" s="18">
        <v>222058051543.62799</v>
      </c>
      <c r="T17" s="18">
        <v>210742455593.37799</v>
      </c>
      <c r="U17" s="18">
        <v>214289191596.52301</v>
      </c>
      <c r="V17" s="18">
        <v>217736818590.03201</v>
      </c>
      <c r="W17" s="18">
        <v>216854920423.995</v>
      </c>
      <c r="X17" s="18">
        <v>221610413457.216</v>
      </c>
      <c r="Y17" s="18">
        <v>242410308909.29199</v>
      </c>
      <c r="Z17" s="18">
        <v>302101388556.271</v>
      </c>
      <c r="AA17" s="18">
        <v>305795232417.14502</v>
      </c>
      <c r="AB17" s="18">
        <v>336707637029.95502</v>
      </c>
      <c r="AC17" s="18">
        <v>362595940328.69299</v>
      </c>
      <c r="AD17" s="18">
        <v>380627401462.69299</v>
      </c>
      <c r="AE17" s="18">
        <v>407856325068.06299</v>
      </c>
      <c r="AF17" s="18">
        <v>474166373639.89697</v>
      </c>
      <c r="AG17" s="18">
        <v>509781668505.94202</v>
      </c>
      <c r="AH17" s="18">
        <v>496851698334.41803</v>
      </c>
      <c r="AI17" s="18">
        <v>509767195342.461</v>
      </c>
    </row>
    <row r="18" spans="1:35" ht="15" customHeight="1" x14ac:dyDescent="0.35">
      <c r="A18" s="17" t="s">
        <v>86</v>
      </c>
      <c r="B18" s="11" t="s">
        <v>87</v>
      </c>
      <c r="C18" s="11" t="s">
        <v>10</v>
      </c>
      <c r="D18" s="18">
        <v>1590576776647.73</v>
      </c>
      <c r="E18" s="18">
        <v>1624790459614.8501</v>
      </c>
      <c r="F18" s="18">
        <v>1671695507214.02</v>
      </c>
      <c r="G18" s="18">
        <v>1694189587392.1001</v>
      </c>
      <c r="H18" s="18">
        <v>1726814955886.6399</v>
      </c>
      <c r="I18" s="18">
        <v>1757973143577.8799</v>
      </c>
      <c r="J18" s="18">
        <v>1787471784895.8401</v>
      </c>
      <c r="K18" s="18">
        <v>1856863206512.55</v>
      </c>
      <c r="L18" s="18">
        <v>1894119928193.3401</v>
      </c>
      <c r="M18" s="18">
        <v>1899232719747.26</v>
      </c>
      <c r="N18" s="18">
        <v>1900496731461.6201</v>
      </c>
      <c r="O18" s="18">
        <v>1928510465814.1599</v>
      </c>
      <c r="P18" s="18">
        <v>1943213635518.5</v>
      </c>
      <c r="Q18" s="18">
        <v>1978181374737.8799</v>
      </c>
      <c r="R18" s="18">
        <v>2007108163772.48</v>
      </c>
      <c r="S18" s="18">
        <v>1986572667176.02</v>
      </c>
      <c r="T18" s="18">
        <v>1881181927615.29</v>
      </c>
      <c r="U18" s="18">
        <v>1909947188308.6599</v>
      </c>
      <c r="V18" s="18">
        <v>1923230167272.6101</v>
      </c>
      <c r="W18" s="18">
        <v>1863124632394.25</v>
      </c>
      <c r="X18" s="18">
        <v>1829252558793.3401</v>
      </c>
      <c r="Y18" s="18">
        <v>1829227175768.29</v>
      </c>
      <c r="Z18" s="18">
        <v>1845428048839.1001</v>
      </c>
      <c r="AA18" s="18">
        <v>1868241619489.51</v>
      </c>
      <c r="AB18" s="18">
        <v>1898202609462.0801</v>
      </c>
      <c r="AC18" s="18">
        <v>1913894038926.8301</v>
      </c>
      <c r="AD18" s="18">
        <v>1922107755078.1599</v>
      </c>
      <c r="AE18" s="18">
        <v>1751650987235.4299</v>
      </c>
      <c r="AF18" s="18">
        <v>1908092024820.8301</v>
      </c>
      <c r="AG18" s="18">
        <v>2000084512919.5601</v>
      </c>
      <c r="AH18" s="18">
        <v>2019599234310.29</v>
      </c>
      <c r="AI18" s="18">
        <v>2033588532657.24</v>
      </c>
    </row>
    <row r="19" spans="1:35" ht="15" customHeight="1" x14ac:dyDescent="0.35">
      <c r="A19" s="17" t="s">
        <v>88</v>
      </c>
      <c r="B19" s="11" t="s">
        <v>89</v>
      </c>
      <c r="C19" s="11" t="s">
        <v>10</v>
      </c>
      <c r="D19" s="18">
        <v>11444375037.4223</v>
      </c>
      <c r="E19" s="18">
        <v>11694996755.2612</v>
      </c>
      <c r="F19" s="18">
        <v>11584507029.7279</v>
      </c>
      <c r="G19" s="18">
        <v>11850946177.858801</v>
      </c>
      <c r="H19" s="18">
        <v>12937852902.7127</v>
      </c>
      <c r="I19" s="18">
        <v>13785282610.378201</v>
      </c>
      <c r="J19" s="18">
        <v>14173807644.0021</v>
      </c>
      <c r="K19" s="18">
        <v>15001703493.709999</v>
      </c>
      <c r="L19" s="18">
        <v>15970900289.345301</v>
      </c>
      <c r="M19" s="18">
        <v>17195147700.318501</v>
      </c>
      <c r="N19" s="18">
        <v>18644549495.687302</v>
      </c>
      <c r="O19" s="18">
        <v>20271313178.691601</v>
      </c>
      <c r="P19" s="18">
        <v>22625890637.930302</v>
      </c>
      <c r="Q19" s="18">
        <v>25527665150.266102</v>
      </c>
      <c r="R19" s="18">
        <v>28186253353.868198</v>
      </c>
      <c r="S19" s="18">
        <v>27231101091.058701</v>
      </c>
      <c r="T19" s="18">
        <v>22863227157.463699</v>
      </c>
      <c r="U19" s="18">
        <v>22026145287.941502</v>
      </c>
      <c r="V19" s="18">
        <v>22694935010.910702</v>
      </c>
      <c r="W19" s="18">
        <v>24352854611.118801</v>
      </c>
      <c r="X19" s="18">
        <v>24863312429.905499</v>
      </c>
      <c r="Y19" s="18">
        <v>25384188823.063999</v>
      </c>
      <c r="Z19" s="18">
        <v>26344565876.890202</v>
      </c>
      <c r="AA19" s="18">
        <v>27016796481.3321</v>
      </c>
      <c r="AB19" s="18">
        <v>27935083541.205002</v>
      </c>
      <c r="AC19" s="18">
        <v>29139005429.854801</v>
      </c>
      <c r="AD19" s="18">
        <v>29335802338.525902</v>
      </c>
      <c r="AE19" s="18">
        <v>28318076614.1623</v>
      </c>
      <c r="AF19" s="18">
        <v>30284070900.411098</v>
      </c>
      <c r="AG19" s="18">
        <v>30862052747.759602</v>
      </c>
      <c r="AH19" s="18">
        <v>30571453786.1231</v>
      </c>
      <c r="AI19" s="18">
        <v>30557357896.8573</v>
      </c>
    </row>
    <row r="20" spans="1:35" ht="15" customHeight="1" x14ac:dyDescent="0.35">
      <c r="A20" s="17" t="s">
        <v>90</v>
      </c>
      <c r="B20" s="11" t="s">
        <v>91</v>
      </c>
      <c r="C20" s="11" t="s">
        <v>10</v>
      </c>
      <c r="D20" s="18">
        <v>19173313427.548801</v>
      </c>
      <c r="E20" s="18">
        <v>17300837660.992699</v>
      </c>
      <c r="F20" s="18">
        <v>17870049092.550201</v>
      </c>
      <c r="G20" s="18">
        <v>18768366411.831299</v>
      </c>
      <c r="H20" s="18">
        <v>20326259134.819199</v>
      </c>
      <c r="I20" s="18">
        <v>21843195078.869301</v>
      </c>
      <c r="J20" s="18">
        <v>21603573442.034901</v>
      </c>
      <c r="K20" s="18">
        <v>22342117970.7075</v>
      </c>
      <c r="L20" s="18">
        <v>23790809196.6404</v>
      </c>
      <c r="M20" s="18">
        <v>25389513378.757</v>
      </c>
      <c r="N20" s="18">
        <v>28068588415.9846</v>
      </c>
      <c r="O20" s="18">
        <v>29893617960.0569</v>
      </c>
      <c r="P20" s="18">
        <v>32204827116.6036</v>
      </c>
      <c r="Q20" s="18">
        <v>34586529059.454697</v>
      </c>
      <c r="R20" s="18">
        <v>38417999935.547501</v>
      </c>
      <c r="S20" s="18">
        <v>39416661070.635902</v>
      </c>
      <c r="T20" s="18">
        <v>33567775753.987301</v>
      </c>
      <c r="U20" s="18">
        <v>33711177146.508999</v>
      </c>
      <c r="V20" s="18">
        <v>35842949499.089699</v>
      </c>
      <c r="W20" s="18">
        <v>37413912227.186501</v>
      </c>
      <c r="X20" s="18">
        <v>38928020774.414703</v>
      </c>
      <c r="Y20" s="18">
        <v>40396597406.971397</v>
      </c>
      <c r="Z20" s="18">
        <v>41540954817.203903</v>
      </c>
      <c r="AA20" s="18">
        <v>42650896790.507797</v>
      </c>
      <c r="AB20" s="18">
        <v>44618059836.150299</v>
      </c>
      <c r="AC20" s="18">
        <v>46812540124.592796</v>
      </c>
      <c r="AD20" s="18">
        <v>49002127329.2631</v>
      </c>
      <c r="AE20" s="18">
        <v>49023107998.608902</v>
      </c>
      <c r="AF20" s="18">
        <v>52150790162.913101</v>
      </c>
      <c r="AG20" s="18">
        <v>53474129886.970596</v>
      </c>
      <c r="AH20" s="18">
        <v>53657151896.427299</v>
      </c>
      <c r="AI20" s="18">
        <v>55144866855.247299</v>
      </c>
    </row>
    <row r="21" spans="1:35" ht="15" customHeight="1" x14ac:dyDescent="0.35">
      <c r="A21" s="17" t="s">
        <v>92</v>
      </c>
      <c r="B21" s="11" t="s">
        <v>93</v>
      </c>
      <c r="C21" s="11" t="s">
        <v>10</v>
      </c>
      <c r="D21" s="18">
        <v>29061858948.060299</v>
      </c>
      <c r="E21" s="18">
        <v>30172289819.161201</v>
      </c>
      <c r="F21" s="18">
        <v>30604417413.620399</v>
      </c>
      <c r="G21" s="18">
        <v>31032290274.724201</v>
      </c>
      <c r="H21" s="18">
        <v>32714187913.5681</v>
      </c>
      <c r="I21" s="18">
        <v>34897700608.288498</v>
      </c>
      <c r="J21" s="18">
        <v>37750651094.139</v>
      </c>
      <c r="K21" s="18">
        <v>40369840252.808998</v>
      </c>
      <c r="L21" s="18">
        <v>41610952660.808601</v>
      </c>
      <c r="M21" s="18">
        <v>42953079744.254601</v>
      </c>
      <c r="N21" s="18">
        <v>44078183528.934502</v>
      </c>
      <c r="O21" s="18">
        <v>45943523456.1968</v>
      </c>
      <c r="P21" s="18">
        <v>47084243707.173103</v>
      </c>
      <c r="Q21" s="18">
        <v>49917168649.960999</v>
      </c>
      <c r="R21" s="18">
        <v>53959794029.799202</v>
      </c>
      <c r="S21" s="18">
        <v>53797819880.855698</v>
      </c>
      <c r="T21" s="18">
        <v>52055333192.700401</v>
      </c>
      <c r="U21" s="18">
        <v>54012829512.590103</v>
      </c>
      <c r="V21" s="18">
        <v>54576884709.750397</v>
      </c>
      <c r="W21" s="18">
        <v>55477349891.779198</v>
      </c>
      <c r="X21" s="18">
        <v>57236974872.260597</v>
      </c>
      <c r="Y21" s="18">
        <v>58738350400.016899</v>
      </c>
      <c r="Z21" s="18">
        <v>60071584216.137497</v>
      </c>
      <c r="AA21" s="18">
        <v>63062061883.629997</v>
      </c>
      <c r="AB21" s="18">
        <v>63892707251.430496</v>
      </c>
      <c r="AC21" s="18">
        <v>64922207640.6436</v>
      </c>
      <c r="AD21" s="18">
        <v>66707126419.2733</v>
      </c>
      <c r="AE21" s="18">
        <v>66366885630.950798</v>
      </c>
      <c r="AF21" s="18">
        <v>70965934440.767395</v>
      </c>
      <c r="AG21" s="18">
        <v>70187142285.231598</v>
      </c>
      <c r="AH21" s="18">
        <v>70256936375.558197</v>
      </c>
      <c r="AI21" s="18">
        <v>70508886559.213806</v>
      </c>
    </row>
    <row r="22" spans="1:35" ht="15" customHeight="1" x14ac:dyDescent="0.35">
      <c r="A22" s="17" t="s">
        <v>94</v>
      </c>
      <c r="B22" s="11" t="s">
        <v>95</v>
      </c>
      <c r="C22" s="11" t="s">
        <v>10</v>
      </c>
      <c r="D22" s="18">
        <v>4144241960.40099</v>
      </c>
      <c r="E22" s="18">
        <v>4378437387.41224</v>
      </c>
      <c r="F22" s="18">
        <v>4656139454.1657104</v>
      </c>
      <c r="G22" s="18">
        <v>4832017470.4586697</v>
      </c>
      <c r="H22" s="18">
        <v>5086035706.6614304</v>
      </c>
      <c r="I22" s="18">
        <v>5346725602.2610197</v>
      </c>
      <c r="J22" s="18">
        <v>5599089764.8863001</v>
      </c>
      <c r="K22" s="18">
        <v>6701061697.4633398</v>
      </c>
      <c r="L22" s="18">
        <v>6650321051.9369001</v>
      </c>
      <c r="M22" s="18">
        <v>6832615339.5348301</v>
      </c>
      <c r="N22" s="18">
        <v>7084965036.7089596</v>
      </c>
      <c r="O22" s="18">
        <v>7113825958.5236902</v>
      </c>
      <c r="P22" s="18">
        <v>7318792018.8819103</v>
      </c>
      <c r="Q22" s="18">
        <v>7489772865.91576</v>
      </c>
      <c r="R22" s="18">
        <v>7866987912.4655199</v>
      </c>
      <c r="S22" s="18">
        <v>8213969014.3148298</v>
      </c>
      <c r="T22" s="18">
        <v>8099363633.4333696</v>
      </c>
      <c r="U22" s="18">
        <v>8601309578.8668098</v>
      </c>
      <c r="V22" s="18">
        <v>8686651936.9587307</v>
      </c>
      <c r="W22" s="18">
        <v>9042950074.1878395</v>
      </c>
      <c r="X22" s="18">
        <v>9611962674.4856396</v>
      </c>
      <c r="Y22" s="18">
        <v>10345486496.084999</v>
      </c>
      <c r="Z22" s="18">
        <v>11340795042.0881</v>
      </c>
      <c r="AA22" s="18">
        <v>11803273067.559799</v>
      </c>
      <c r="AB22" s="18">
        <v>13334316042.9202</v>
      </c>
      <c r="AC22" s="18">
        <v>14292948664.828199</v>
      </c>
      <c r="AD22" s="18">
        <v>14876823596.302099</v>
      </c>
      <c r="AE22" s="18">
        <v>14362489738.4331</v>
      </c>
      <c r="AF22" s="18">
        <v>16288744391.3981</v>
      </c>
      <c r="AG22" s="18">
        <v>16693210193.343399</v>
      </c>
      <c r="AH22" s="18">
        <v>18466282602.650799</v>
      </c>
      <c r="AI22" s="18">
        <v>19721971907.751301</v>
      </c>
    </row>
    <row r="23" spans="1:35" ht="15" customHeight="1" x14ac:dyDescent="0.35">
      <c r="A23" s="17" t="s">
        <v>96</v>
      </c>
      <c r="B23" s="11" t="s">
        <v>97</v>
      </c>
      <c r="C23" s="11" t="s">
        <v>10</v>
      </c>
      <c r="D23" s="18">
        <v>493847948232.99701</v>
      </c>
      <c r="E23" s="18">
        <v>508471242744.71698</v>
      </c>
      <c r="F23" s="18">
        <v>524315389158.09802</v>
      </c>
      <c r="G23" s="18">
        <v>542250002539.88202</v>
      </c>
      <c r="H23" s="18">
        <v>565287382969.54395</v>
      </c>
      <c r="I23" s="18">
        <v>591560723040.10706</v>
      </c>
      <c r="J23" s="18">
        <v>621395031368.01099</v>
      </c>
      <c r="K23" s="18">
        <v>647616371669.34497</v>
      </c>
      <c r="L23" s="18">
        <v>662664228363.74097</v>
      </c>
      <c r="M23" s="18">
        <v>664292962005.23706</v>
      </c>
      <c r="N23" s="18">
        <v>664942855515.36206</v>
      </c>
      <c r="O23" s="18">
        <v>678350164553.83801</v>
      </c>
      <c r="P23" s="18">
        <v>692147558366.87097</v>
      </c>
      <c r="Q23" s="18">
        <v>716631413729.70496</v>
      </c>
      <c r="R23" s="18">
        <v>744474740255.86902</v>
      </c>
      <c r="S23" s="18">
        <v>760233900200.23706</v>
      </c>
      <c r="T23" s="18">
        <v>732369119343.41101</v>
      </c>
      <c r="U23" s="18">
        <v>742031413974.44702</v>
      </c>
      <c r="V23" s="18">
        <v>755190192159.83398</v>
      </c>
      <c r="W23" s="18">
        <v>747805361887.68396</v>
      </c>
      <c r="X23" s="18">
        <v>747579281182.56494</v>
      </c>
      <c r="Y23" s="18">
        <v>759634819525.58105</v>
      </c>
      <c r="Z23" s="18">
        <v>775743675302.73401</v>
      </c>
      <c r="AA23" s="18">
        <v>794549918521.02197</v>
      </c>
      <c r="AB23" s="18">
        <v>816650691531.91797</v>
      </c>
      <c r="AC23" s="18">
        <v>835096710412.61304</v>
      </c>
      <c r="AD23" s="18">
        <v>854304699526.71899</v>
      </c>
      <c r="AE23" s="18">
        <v>821260592382.70105</v>
      </c>
      <c r="AF23" s="18">
        <v>872809729132.83899</v>
      </c>
      <c r="AG23" s="18">
        <v>916513359459.67102</v>
      </c>
      <c r="AH23" s="18">
        <v>911031728184.77698</v>
      </c>
      <c r="AI23" s="18">
        <v>920880034447.75</v>
      </c>
    </row>
    <row r="24" spans="1:35" ht="15" customHeight="1" x14ac:dyDescent="0.35">
      <c r="A24" s="17" t="s">
        <v>98</v>
      </c>
      <c r="B24" s="11" t="s">
        <v>99</v>
      </c>
      <c r="C24" s="11" t="s">
        <v>10</v>
      </c>
      <c r="D24" s="18">
        <v>150567626889.12701</v>
      </c>
      <c r="E24" s="18">
        <v>152020360998.271</v>
      </c>
      <c r="F24" s="18">
        <v>158531058877.056</v>
      </c>
      <c r="G24" s="18">
        <v>164086378007.65799</v>
      </c>
      <c r="H24" s="18">
        <v>171307602359.37799</v>
      </c>
      <c r="I24" s="18">
        <v>179544008821.68701</v>
      </c>
      <c r="J24" s="18">
        <v>186558035204.77802</v>
      </c>
      <c r="K24" s="18">
        <v>193677420299.11499</v>
      </c>
      <c r="L24" s="18">
        <v>197441874347.85999</v>
      </c>
      <c r="M24" s="18">
        <v>198964002685.767</v>
      </c>
      <c r="N24" s="18">
        <v>197112600768.677</v>
      </c>
      <c r="O24" s="18">
        <v>200638423891.103</v>
      </c>
      <c r="P24" s="18">
        <v>202207110531.02301</v>
      </c>
      <c r="Q24" s="18">
        <v>205493047516.03799</v>
      </c>
      <c r="R24" s="18">
        <v>210643893867.297</v>
      </c>
      <c r="S24" s="18">
        <v>211316368904.681</v>
      </c>
      <c r="T24" s="18">
        <v>204718906458.63699</v>
      </c>
      <c r="U24" s="18">
        <v>208276152407.91199</v>
      </c>
      <c r="V24" s="18">
        <v>204707283345.74899</v>
      </c>
      <c r="W24" s="18">
        <v>196414790526.28</v>
      </c>
      <c r="X24" s="18">
        <v>194481859660.11099</v>
      </c>
      <c r="Y24" s="18">
        <v>195923731482.46201</v>
      </c>
      <c r="Z24" s="18">
        <v>199038523119.63901</v>
      </c>
      <c r="AA24" s="18">
        <v>203027536357.754</v>
      </c>
      <c r="AB24" s="18">
        <v>209757330876.90601</v>
      </c>
      <c r="AC24" s="18">
        <v>215937376369.16501</v>
      </c>
      <c r="AD24" s="18">
        <v>221866335067.159</v>
      </c>
      <c r="AE24" s="18">
        <v>203663019645.466</v>
      </c>
      <c r="AF24" s="18">
        <v>214984151437.59698</v>
      </c>
      <c r="AG24" s="18">
        <v>230002603240.14301</v>
      </c>
      <c r="AH24" s="18">
        <v>237132635847.46301</v>
      </c>
      <c r="AI24" s="18">
        <v>242206495918.35999</v>
      </c>
    </row>
    <row r="25" spans="1:35" ht="15" customHeight="1" x14ac:dyDescent="0.35">
      <c r="A25" s="17" t="s">
        <v>11</v>
      </c>
      <c r="B25" s="11" t="s">
        <v>100</v>
      </c>
      <c r="C25" s="11" t="s">
        <v>11</v>
      </c>
      <c r="D25" s="18">
        <v>10346824232649.6</v>
      </c>
      <c r="E25" s="18">
        <v>10763700132799</v>
      </c>
      <c r="F25" s="18">
        <v>11052644207040.4</v>
      </c>
      <c r="G25" s="18">
        <v>11469635349338.5</v>
      </c>
      <c r="H25" s="18">
        <v>11979704707077.801</v>
      </c>
      <c r="I25" s="18">
        <v>12516770844481.1</v>
      </c>
      <c r="J25" s="18">
        <v>13116127034705.4</v>
      </c>
      <c r="K25" s="18">
        <v>13650948362520</v>
      </c>
      <c r="L25" s="18">
        <v>13781388409036.199</v>
      </c>
      <c r="M25" s="18">
        <v>14015733659783.6</v>
      </c>
      <c r="N25" s="18">
        <v>14407558345762.9</v>
      </c>
      <c r="O25" s="18">
        <v>14961928297813.801</v>
      </c>
      <c r="P25" s="18">
        <v>15483134541390.199</v>
      </c>
      <c r="Q25" s="18">
        <v>15914268559668.9</v>
      </c>
      <c r="R25" s="18">
        <v>16233167950743.9</v>
      </c>
      <c r="S25" s="18">
        <v>16251606759787.801</v>
      </c>
      <c r="T25" s="18">
        <v>15832884074310.801</v>
      </c>
      <c r="U25" s="18">
        <v>16259610790677.1</v>
      </c>
      <c r="V25" s="18">
        <v>16513977256911.199</v>
      </c>
      <c r="W25" s="18">
        <v>16892000920975.5</v>
      </c>
      <c r="X25" s="18">
        <v>17249744800617.5</v>
      </c>
      <c r="Y25" s="18">
        <v>17685097277697.801</v>
      </c>
      <c r="Z25" s="18">
        <v>18206020741000</v>
      </c>
      <c r="AA25" s="18">
        <v>18537270454435.602</v>
      </c>
      <c r="AB25" s="18">
        <v>18992846546661.699</v>
      </c>
      <c r="AC25" s="18">
        <v>19556270302218.301</v>
      </c>
      <c r="AD25" s="18">
        <v>20061570168697.602</v>
      </c>
      <c r="AE25" s="18">
        <v>19627632559934.602</v>
      </c>
      <c r="AF25" s="18">
        <v>20816096100824.5</v>
      </c>
      <c r="AG25" s="18">
        <v>21339074561820</v>
      </c>
      <c r="AH25" s="18">
        <v>21955252291273.602</v>
      </c>
      <c r="AI25" s="18">
        <v>22568462768174.301</v>
      </c>
    </row>
    <row r="26" spans="1:35" ht="15" customHeight="1" x14ac:dyDescent="0.35">
      <c r="A26" s="17" t="s">
        <v>101</v>
      </c>
      <c r="B26" s="11" t="s">
        <v>102</v>
      </c>
      <c r="C26" s="11" t="s">
        <v>12</v>
      </c>
      <c r="D26" s="18">
        <v>1781335634495.4199</v>
      </c>
      <c r="E26" s="18">
        <v>1869572508479</v>
      </c>
      <c r="F26" s="18">
        <v>1935631814547.4399</v>
      </c>
      <c r="G26" s="18">
        <v>1986246961912.3</v>
      </c>
      <c r="H26" s="18">
        <v>2083175521750.8401</v>
      </c>
      <c r="I26" s="18">
        <v>2150801957623.71</v>
      </c>
      <c r="J26" s="18">
        <v>2214131432953.5</v>
      </c>
      <c r="K26" s="18">
        <v>2314307169243.8799</v>
      </c>
      <c r="L26" s="18">
        <v>2369642769659.0801</v>
      </c>
      <c r="M26" s="18">
        <v>2410140612988.0898</v>
      </c>
      <c r="N26" s="18">
        <v>2487711377293.1602</v>
      </c>
      <c r="O26" s="18">
        <v>2545576004983.02</v>
      </c>
      <c r="P26" s="18">
        <v>2616614241852.8301</v>
      </c>
      <c r="Q26" s="18">
        <v>2673913418491.8501</v>
      </c>
      <c r="R26" s="18">
        <v>2752283449984.5298</v>
      </c>
      <c r="S26" s="18">
        <v>2750923500693.3398</v>
      </c>
      <c r="T26" s="18">
        <v>2624727410659.6401</v>
      </c>
      <c r="U26" s="18">
        <v>2684060544650.5498</v>
      </c>
      <c r="V26" s="18">
        <v>2706913649065.8501</v>
      </c>
      <c r="W26" s="18">
        <v>2748282336997.9702</v>
      </c>
      <c r="X26" s="18">
        <v>2795510733841.0601</v>
      </c>
      <c r="Y26" s="18">
        <v>2883853723651.98</v>
      </c>
      <c r="Z26" s="18">
        <v>2945579890258.46</v>
      </c>
      <c r="AA26" s="18">
        <v>3010574705731.2998</v>
      </c>
      <c r="AB26" s="18">
        <v>3101591068534.4902</v>
      </c>
      <c r="AC26" s="18">
        <v>3149707010747.5298</v>
      </c>
      <c r="AD26" s="18">
        <v>3189276748351.1499</v>
      </c>
      <c r="AE26" s="18">
        <v>2868821517197.4102</v>
      </c>
      <c r="AF26" s="18">
        <v>3113908148054.3501</v>
      </c>
      <c r="AG26" s="18">
        <v>3274265196937.1899</v>
      </c>
      <c r="AH26" s="18">
        <v>3283159739927.9502</v>
      </c>
      <c r="AI26" s="18">
        <v>3320141995547.6201</v>
      </c>
    </row>
    <row r="29" spans="1:35" ht="15" customHeight="1" x14ac:dyDescent="0.35">
      <c r="A29" s="5" t="s">
        <v>103</v>
      </c>
      <c r="B29" s="19" t="s">
        <v>104</v>
      </c>
      <c r="C29" s="20">
        <v>1.1094999999999999</v>
      </c>
    </row>
    <row r="30" spans="1:35" ht="15" customHeight="1" x14ac:dyDescent="0.35">
      <c r="A30" s="2" t="s">
        <v>105</v>
      </c>
      <c r="B30" s="2"/>
      <c r="C30" s="2"/>
      <c r="D30" s="2"/>
      <c r="E30" s="2"/>
      <c r="F30" s="2"/>
    </row>
  </sheetData>
  <mergeCells count="1">
    <mergeCell ref="A30:F30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26"/>
  <sheetViews>
    <sheetView zoomScale="60" zoomScaleNormal="100" workbookViewId="0">
      <pane xSplit="2" ySplit="4" topLeftCell="C7" activePane="bottomRight" state="frozen"/>
      <selection pane="topRight" activeCell="C1" sqref="C1"/>
      <selection pane="bottomLeft" activeCell="A5" sqref="A5"/>
      <selection pane="bottomRight"/>
    </sheetView>
  </sheetViews>
  <sheetFormatPr baseColWidth="10" defaultColWidth="8.6328125" defaultRowHeight="14.5" x14ac:dyDescent="0.35"/>
  <cols>
    <col min="1" max="1" width="18" customWidth="1"/>
    <col min="2" max="2" width="11" customWidth="1"/>
    <col min="3" max="34" width="13" customWidth="1"/>
  </cols>
  <sheetData>
    <row r="1" spans="1:34" ht="17.25" customHeight="1" x14ac:dyDescent="0.4">
      <c r="A1" s="3" t="s">
        <v>106</v>
      </c>
    </row>
    <row r="2" spans="1:34" ht="15" customHeight="1" x14ac:dyDescent="0.35">
      <c r="A2" s="4" t="s">
        <v>107</v>
      </c>
    </row>
    <row r="4" spans="1:34" ht="15" customHeight="1" x14ac:dyDescent="0.35">
      <c r="A4" s="7" t="s">
        <v>25</v>
      </c>
      <c r="B4" s="7" t="s">
        <v>3</v>
      </c>
      <c r="C4" s="7" t="s">
        <v>4</v>
      </c>
      <c r="D4" s="7" t="s">
        <v>34</v>
      </c>
      <c r="E4" s="7" t="s">
        <v>35</v>
      </c>
      <c r="F4" s="7" t="s">
        <v>36</v>
      </c>
      <c r="G4" s="7" t="s">
        <v>37</v>
      </c>
      <c r="H4" s="7" t="s">
        <v>38</v>
      </c>
      <c r="I4" s="7" t="s">
        <v>39</v>
      </c>
      <c r="J4" s="7" t="s">
        <v>5</v>
      </c>
      <c r="K4" s="7" t="s">
        <v>40</v>
      </c>
      <c r="L4" s="7" t="s">
        <v>41</v>
      </c>
      <c r="M4" s="7" t="s">
        <v>42</v>
      </c>
      <c r="N4" s="7" t="s">
        <v>43</v>
      </c>
      <c r="O4" s="7" t="s">
        <v>44</v>
      </c>
      <c r="P4" s="7" t="s">
        <v>45</v>
      </c>
      <c r="Q4" s="7" t="s">
        <v>46</v>
      </c>
      <c r="R4" s="7" t="s">
        <v>6</v>
      </c>
      <c r="S4" s="7" t="s">
        <v>7</v>
      </c>
      <c r="T4" s="7" t="s">
        <v>47</v>
      </c>
      <c r="U4" s="7" t="s">
        <v>48</v>
      </c>
      <c r="V4" s="7" t="s">
        <v>49</v>
      </c>
      <c r="W4" s="7" t="s">
        <v>50</v>
      </c>
      <c r="X4" s="7" t="s">
        <v>51</v>
      </c>
      <c r="Y4" s="7" t="s">
        <v>52</v>
      </c>
      <c r="Z4" s="7" t="s">
        <v>53</v>
      </c>
      <c r="AA4" s="7" t="s">
        <v>54</v>
      </c>
      <c r="AB4" s="7" t="s">
        <v>55</v>
      </c>
      <c r="AC4" s="7" t="s">
        <v>56</v>
      </c>
      <c r="AD4" s="7" t="s">
        <v>8</v>
      </c>
      <c r="AE4" s="7" t="s">
        <v>57</v>
      </c>
      <c r="AF4" s="7" t="s">
        <v>58</v>
      </c>
      <c r="AG4" s="7" t="s">
        <v>59</v>
      </c>
      <c r="AH4" s="7" t="s">
        <v>9</v>
      </c>
    </row>
    <row r="5" spans="1:34" ht="15" customHeight="1" x14ac:dyDescent="0.35">
      <c r="A5" s="21" t="s">
        <v>60</v>
      </c>
      <c r="B5" s="11" t="s">
        <v>10</v>
      </c>
      <c r="C5" s="8">
        <f>Datos_Origen_USD!D5/Datos_Origen_USD!$C$29/1000000</f>
        <v>2262577.9063752322</v>
      </c>
      <c r="D5" s="8">
        <f>Datos_Origen_USD!E5/Datos_Origen_USD!$C$29/1000000</f>
        <v>2321333.789634475</v>
      </c>
      <c r="E5" s="8">
        <f>Datos_Origen_USD!F5/Datos_Origen_USD!$C$29/1000000</f>
        <v>2356269.7202210547</v>
      </c>
      <c r="F5" s="8">
        <f>Datos_Origen_USD!G5/Datos_Origen_USD!$C$29/1000000</f>
        <v>2380724.8679501219</v>
      </c>
      <c r="G5" s="8">
        <f>Datos_Origen_USD!H5/Datos_Origen_USD!$C$29/1000000</f>
        <v>2424871.1820775671</v>
      </c>
      <c r="H5" s="8">
        <f>Datos_Origen_USD!I5/Datos_Origen_USD!$C$29/1000000</f>
        <v>2475687.0811125911</v>
      </c>
      <c r="I5" s="8">
        <f>Datos_Origen_USD!J5/Datos_Origen_USD!$C$29/1000000</f>
        <v>2528408.5745206582</v>
      </c>
      <c r="J5" s="8">
        <f>Datos_Origen_USD!K5/Datos_Origen_USD!$C$29/1000000</f>
        <v>2601138.8318553134</v>
      </c>
      <c r="K5" s="8">
        <f>Datos_Origen_USD!L5/Datos_Origen_USD!$C$29/1000000</f>
        <v>2643697.1491379179</v>
      </c>
      <c r="L5" s="8">
        <f>Datos_Origen_USD!M5/Datos_Origen_USD!$C$29/1000000</f>
        <v>2637662.7592867329</v>
      </c>
      <c r="M5" s="8">
        <f>Datos_Origen_USD!N5/Datos_Origen_USD!$C$29/1000000</f>
        <v>2623688.3852113294</v>
      </c>
      <c r="N5" s="8">
        <f>Datos_Origen_USD!O5/Datos_Origen_USD!$C$29/1000000</f>
        <v>2654177.9227915728</v>
      </c>
      <c r="O5" s="8">
        <f>Datos_Origen_USD!P5/Datos_Origen_USD!$C$29/1000000</f>
        <v>2677680.2779360437</v>
      </c>
      <c r="P5" s="8">
        <f>Datos_Origen_USD!Q5/Datos_Origen_USD!$C$29/1000000</f>
        <v>2781217.6703791348</v>
      </c>
      <c r="Q5" s="8">
        <f>Datos_Origen_USD!R5/Datos_Origen_USD!$C$29/1000000</f>
        <v>2861570.3144098069</v>
      </c>
      <c r="R5" s="8">
        <f>Datos_Origen_USD!S5/Datos_Origen_USD!$C$29/1000000</f>
        <v>2886978.2639273186</v>
      </c>
      <c r="S5" s="8">
        <f>Datos_Origen_USD!T5/Datos_Origen_USD!$C$29/1000000</f>
        <v>2726908.1801262279</v>
      </c>
      <c r="T5" s="8">
        <f>Datos_Origen_USD!U5/Datos_Origen_USD!$C$29/1000000</f>
        <v>2839655.956110185</v>
      </c>
      <c r="U5" s="8">
        <f>Datos_Origen_USD!V5/Datos_Origen_USD!$C$29/1000000</f>
        <v>2946369.3422429655</v>
      </c>
      <c r="V5" s="8">
        <f>Datos_Origen_USD!W5/Datos_Origen_USD!$C$29/1000000</f>
        <v>2960026.1187901669</v>
      </c>
      <c r="W5" s="8">
        <f>Datos_Origen_USD!X5/Datos_Origen_USD!$C$29/1000000</f>
        <v>2971777.2917604782</v>
      </c>
      <c r="X5" s="8">
        <f>Datos_Origen_USD!Y5/Datos_Origen_USD!$C$29/1000000</f>
        <v>3036567.5648709061</v>
      </c>
      <c r="Y5" s="8">
        <f>Datos_Origen_USD!Z5/Datos_Origen_USD!$C$29/1000000</f>
        <v>3087065.8663777285</v>
      </c>
      <c r="Z5" s="8">
        <f>Datos_Origen_USD!AA5/Datos_Origen_USD!$C$29/1000000</f>
        <v>3155667.3282342413</v>
      </c>
      <c r="AA5" s="8">
        <f>Datos_Origen_USD!AB5/Datos_Origen_USD!$C$29/1000000</f>
        <v>3243959.9564891397</v>
      </c>
      <c r="AB5" s="8">
        <f>Datos_Origen_USD!AC5/Datos_Origen_USD!$C$29/1000000</f>
        <v>3280801.4814487607</v>
      </c>
      <c r="AC5" s="8">
        <f>Datos_Origen_USD!AD5/Datos_Origen_USD!$C$29/1000000</f>
        <v>3312879.0158738536</v>
      </c>
      <c r="AD5" s="8">
        <f>Datos_Origen_USD!AE5/Datos_Origen_USD!$C$29/1000000</f>
        <v>3175993.6896890225</v>
      </c>
      <c r="AE5" s="8">
        <f>Datos_Origen_USD!AF5/Datos_Origen_USD!$C$29/1000000</f>
        <v>3300175.0411150972</v>
      </c>
      <c r="AF5" s="8">
        <f>Datos_Origen_USD!AG5/Datos_Origen_USD!$C$29/1000000</f>
        <v>3359883.7261627945</v>
      </c>
      <c r="AG5" s="8">
        <f>Datos_Origen_USD!AH5/Datos_Origen_USD!$C$29/1000000</f>
        <v>3330664.5786953405</v>
      </c>
      <c r="AH5" s="8">
        <f>Datos_Origen_USD!AI5/Datos_Origen_USD!$C$29/1000000</f>
        <v>3314149.4151905007</v>
      </c>
    </row>
    <row r="6" spans="1:34" ht="15" customHeight="1" x14ac:dyDescent="0.35">
      <c r="A6" s="21" t="s">
        <v>62</v>
      </c>
      <c r="B6" s="11" t="s">
        <v>10</v>
      </c>
      <c r="C6" s="8">
        <f>Datos_Origen_USD!D6/Datos_Origen_USD!$C$29/1000000</f>
        <v>228973.56630400452</v>
      </c>
      <c r="D6" s="8">
        <f>Datos_Origen_USD!E6/Datos_Origen_USD!$C$29/1000000</f>
        <v>234473.78254595312</v>
      </c>
      <c r="E6" s="8">
        <f>Datos_Origen_USD!F6/Datos_Origen_USD!$C$29/1000000</f>
        <v>240729.50528779812</v>
      </c>
      <c r="F6" s="8">
        <f>Datos_Origen_USD!G6/Datos_Origen_USD!$C$29/1000000</f>
        <v>246063.51054027941</v>
      </c>
      <c r="G6" s="8">
        <f>Datos_Origen_USD!H6/Datos_Origen_USD!$C$29/1000000</f>
        <v>251343.62760766741</v>
      </c>
      <c r="H6" s="8">
        <f>Datos_Origen_USD!I6/Datos_Origen_USD!$C$29/1000000</f>
        <v>260122.75898210634</v>
      </c>
      <c r="I6" s="8">
        <f>Datos_Origen_USD!J6/Datos_Origen_USD!$C$29/1000000</f>
        <v>269908.38039710053</v>
      </c>
      <c r="J6" s="8">
        <f>Datos_Origen_USD!K6/Datos_Origen_USD!$C$29/1000000</f>
        <v>278517.17007955472</v>
      </c>
      <c r="K6" s="8">
        <f>Datos_Origen_USD!L6/Datos_Origen_USD!$C$29/1000000</f>
        <v>282185.20638291753</v>
      </c>
      <c r="L6" s="8">
        <f>Datos_Origen_USD!M6/Datos_Origen_USD!$C$29/1000000</f>
        <v>286373.87547710683</v>
      </c>
      <c r="M6" s="8">
        <f>Datos_Origen_USD!N6/Datos_Origen_USD!$C$29/1000000</f>
        <v>289643.01953879045</v>
      </c>
      <c r="N6" s="8">
        <f>Datos_Origen_USD!O6/Datos_Origen_USD!$C$29/1000000</f>
        <v>297073.10256641195</v>
      </c>
      <c r="O6" s="8">
        <f>Datos_Origen_USD!P6/Datos_Origen_USD!$C$29/1000000</f>
        <v>303966.2832866048</v>
      </c>
      <c r="P6" s="8">
        <f>Datos_Origen_USD!Q6/Datos_Origen_USD!$C$29/1000000</f>
        <v>313903.96245973412</v>
      </c>
      <c r="Q6" s="8">
        <f>Datos_Origen_USD!R6/Datos_Origen_USD!$C$29/1000000</f>
        <v>325754.54234490223</v>
      </c>
      <c r="R6" s="8">
        <f>Datos_Origen_USD!S6/Datos_Origen_USD!$C$29/1000000</f>
        <v>330488.75142083468</v>
      </c>
      <c r="S6" s="8">
        <f>Datos_Origen_USD!T6/Datos_Origen_USD!$C$29/1000000</f>
        <v>318636.54990684096</v>
      </c>
      <c r="T6" s="8">
        <f>Datos_Origen_USD!U6/Datos_Origen_USD!$C$29/1000000</f>
        <v>324400.62911160523</v>
      </c>
      <c r="U6" s="8">
        <f>Datos_Origen_USD!V6/Datos_Origen_USD!$C$29/1000000</f>
        <v>333897.35372613341</v>
      </c>
      <c r="V6" s="8">
        <f>Datos_Origen_USD!W6/Datos_Origen_USD!$C$29/1000000</f>
        <v>335995.05129463994</v>
      </c>
      <c r="W6" s="8">
        <f>Datos_Origen_USD!X6/Datos_Origen_USD!$C$29/1000000</f>
        <v>335152.62292000186</v>
      </c>
      <c r="X6" s="8">
        <f>Datos_Origen_USD!Y6/Datos_Origen_USD!$C$29/1000000</f>
        <v>337685.70259083732</v>
      </c>
      <c r="Y6" s="8">
        <f>Datos_Origen_USD!Z6/Datos_Origen_USD!$C$29/1000000</f>
        <v>342087.51446654618</v>
      </c>
      <c r="Z6" s="8">
        <f>Datos_Origen_USD!AA6/Datos_Origen_USD!$C$29/1000000</f>
        <v>349330.25852572959</v>
      </c>
      <c r="AA6" s="8">
        <f>Datos_Origen_USD!AB6/Datos_Origen_USD!$C$29/1000000</f>
        <v>357267.91504695086</v>
      </c>
      <c r="AB6" s="8">
        <f>Datos_Origen_USD!AC6/Datos_Origen_USD!$C$29/1000000</f>
        <v>366143.24012184318</v>
      </c>
      <c r="AC6" s="8">
        <f>Datos_Origen_USD!AD6/Datos_Origen_USD!$C$29/1000000</f>
        <v>372568.96683104913</v>
      </c>
      <c r="AD6" s="8">
        <f>Datos_Origen_USD!AE6/Datos_Origen_USD!$C$29/1000000</f>
        <v>349029.10911266424</v>
      </c>
      <c r="AE6" s="8">
        <f>Datos_Origen_USD!AF6/Datos_Origen_USD!$C$29/1000000</f>
        <v>366212.13227393333</v>
      </c>
      <c r="AF6" s="8">
        <f>Datos_Origen_USD!AG6/Datos_Origen_USD!$C$29/1000000</f>
        <v>385734.76845470577</v>
      </c>
      <c r="AG6" s="8">
        <f>Datos_Origen_USD!AH6/Datos_Origen_USD!$C$29/1000000</f>
        <v>382701.9508686075</v>
      </c>
      <c r="AH6" s="8">
        <f>Datos_Origen_USD!AI6/Datos_Origen_USD!$C$29/1000000</f>
        <v>380179.60221410909</v>
      </c>
    </row>
    <row r="7" spans="1:34" ht="15" customHeight="1" x14ac:dyDescent="0.35">
      <c r="A7" s="21" t="s">
        <v>64</v>
      </c>
      <c r="B7" s="11" t="s">
        <v>10</v>
      </c>
      <c r="C7" s="8">
        <f>Datos_Origen_USD!D7/Datos_Origen_USD!$C$29/1000000</f>
        <v>272379.84667470213</v>
      </c>
      <c r="D7" s="8">
        <f>Datos_Origen_USD!E7/Datos_Origen_USD!$C$29/1000000</f>
        <v>281169.46657405864</v>
      </c>
      <c r="E7" s="8">
        <f>Datos_Origen_USD!F7/Datos_Origen_USD!$C$29/1000000</f>
        <v>287874.67580931867</v>
      </c>
      <c r="F7" s="8">
        <f>Datos_Origen_USD!G7/Datos_Origen_USD!$C$29/1000000</f>
        <v>291678.74431083736</v>
      </c>
      <c r="G7" s="8">
        <f>Datos_Origen_USD!H7/Datos_Origen_USD!$C$29/1000000</f>
        <v>302744.07815862639</v>
      </c>
      <c r="H7" s="8">
        <f>Datos_Origen_USD!I7/Datos_Origen_USD!$C$29/1000000</f>
        <v>308683.40958681656</v>
      </c>
      <c r="I7" s="8">
        <f>Datos_Origen_USD!J7/Datos_Origen_USD!$C$29/1000000</f>
        <v>319619.19226495898</v>
      </c>
      <c r="J7" s="8">
        <f>Datos_Origen_USD!K7/Datos_Origen_USD!$C$29/1000000</f>
        <v>331498.49510594684</v>
      </c>
      <c r="K7" s="8">
        <f>Datos_Origen_USD!L7/Datos_Origen_USD!$C$29/1000000</f>
        <v>335143.6645722884</v>
      </c>
      <c r="L7" s="8">
        <f>Datos_Origen_USD!M7/Datos_Origen_USD!$C$29/1000000</f>
        <v>340864.21269140061</v>
      </c>
      <c r="M7" s="8">
        <f>Datos_Origen_USD!N7/Datos_Origen_USD!$C$29/1000000</f>
        <v>344402.2304493268</v>
      </c>
      <c r="N7" s="8">
        <f>Datos_Origen_USD!O7/Datos_Origen_USD!$C$29/1000000</f>
        <v>356701.54604497616</v>
      </c>
      <c r="O7" s="8">
        <f>Datos_Origen_USD!P7/Datos_Origen_USD!$C$29/1000000</f>
        <v>364983.22113325371</v>
      </c>
      <c r="P7" s="8">
        <f>Datos_Origen_USD!Q7/Datos_Origen_USD!$C$29/1000000</f>
        <v>374298.83706664987</v>
      </c>
      <c r="Q7" s="8">
        <f>Datos_Origen_USD!R7/Datos_Origen_USD!$C$29/1000000</f>
        <v>388061.52317843353</v>
      </c>
      <c r="R7" s="8">
        <f>Datos_Origen_USD!S7/Datos_Origen_USD!$C$29/1000000</f>
        <v>389795.79003589641</v>
      </c>
      <c r="S7" s="8">
        <f>Datos_Origen_USD!T7/Datos_Origen_USD!$C$29/1000000</f>
        <v>382364.56306339253</v>
      </c>
      <c r="T7" s="8">
        <f>Datos_Origen_USD!U7/Datos_Origen_USD!$C$29/1000000</f>
        <v>392727.83379776124</v>
      </c>
      <c r="U7" s="8">
        <f>Datos_Origen_USD!V7/Datos_Origen_USD!$C$29/1000000</f>
        <v>400312.01709123841</v>
      </c>
      <c r="V7" s="8">
        <f>Datos_Origen_USD!W7/Datos_Origen_USD!$C$29/1000000</f>
        <v>401175.90488375037</v>
      </c>
      <c r="W7" s="8">
        <f>Datos_Origen_USD!X7/Datos_Origen_USD!$C$29/1000000</f>
        <v>402401.47540535376</v>
      </c>
      <c r="X7" s="8">
        <f>Datos_Origen_USD!Y7/Datos_Origen_USD!$C$29/1000000</f>
        <v>409506.03594938357</v>
      </c>
      <c r="Y7" s="8">
        <f>Datos_Origen_USD!Z7/Datos_Origen_USD!$C$29/1000000</f>
        <v>415542.82789051917</v>
      </c>
      <c r="Z7" s="8">
        <f>Datos_Origen_USD!AA7/Datos_Origen_USD!$C$29/1000000</f>
        <v>420502.34288603422</v>
      </c>
      <c r="AA7" s="8">
        <f>Datos_Origen_USD!AB7/Datos_Origen_USD!$C$29/1000000</f>
        <v>426702.51375459216</v>
      </c>
      <c r="AB7" s="8">
        <f>Datos_Origen_USD!AC7/Datos_Origen_USD!$C$29/1000000</f>
        <v>434715.8524399685</v>
      </c>
      <c r="AC7" s="8">
        <f>Datos_Origen_USD!AD7/Datos_Origen_USD!$C$29/1000000</f>
        <v>445335.48272245965</v>
      </c>
      <c r="AD7" s="8">
        <f>Datos_Origen_USD!AE7/Datos_Origen_USD!$C$29/1000000</f>
        <v>423990.62469739077</v>
      </c>
      <c r="AE7" s="8">
        <f>Datos_Origen_USD!AF7/Datos_Origen_USD!$C$29/1000000</f>
        <v>450508.93542931683</v>
      </c>
      <c r="AF7" s="8">
        <f>Datos_Origen_USD!AG7/Datos_Origen_USD!$C$29/1000000</f>
        <v>468332.14101711399</v>
      </c>
      <c r="AG7" s="8">
        <f>Datos_Origen_USD!AH7/Datos_Origen_USD!$C$29/1000000</f>
        <v>476359.9250693231</v>
      </c>
      <c r="AH7" s="8">
        <f>Datos_Origen_USD!AI7/Datos_Origen_USD!$C$29/1000000</f>
        <v>481459.13956181792</v>
      </c>
    </row>
    <row r="8" spans="1:34" ht="15" customHeight="1" x14ac:dyDescent="0.35">
      <c r="A8" s="21" t="s">
        <v>66</v>
      </c>
      <c r="B8" s="11" t="s">
        <v>10</v>
      </c>
      <c r="C8" s="8">
        <f>Datos_Origen_USD!D8/Datos_Origen_USD!$C$29/1000000</f>
        <v>9944.7740222594875</v>
      </c>
      <c r="D8" s="8">
        <f>Datos_Origen_USD!E8/Datos_Origen_USD!$C$29/1000000</f>
        <v>10531.515618490674</v>
      </c>
      <c r="E8" s="8">
        <f>Datos_Origen_USD!F8/Datos_Origen_USD!$C$29/1000000</f>
        <v>11412.210332267688</v>
      </c>
      <c r="F8" s="8">
        <f>Datos_Origen_USD!G8/Datos_Origen_USD!$C$29/1000000</f>
        <v>11554.696511511223</v>
      </c>
      <c r="G8" s="8">
        <f>Datos_Origen_USD!H8/Datos_Origen_USD!$C$29/1000000</f>
        <v>11859.848034759802</v>
      </c>
      <c r="H8" s="8">
        <f>Datos_Origen_USD!I8/Datos_Origen_USD!$C$29/1000000</f>
        <v>12584.589466149077</v>
      </c>
      <c r="I8" s="8">
        <f>Datos_Origen_USD!J8/Datos_Origen_USD!$C$29/1000000</f>
        <v>13213.561546197478</v>
      </c>
      <c r="J8" s="8">
        <f>Datos_Origen_USD!K8/Datos_Origen_USD!$C$29/1000000</f>
        <v>14001.790721769357</v>
      </c>
      <c r="K8" s="8">
        <f>Datos_Origen_USD!L8/Datos_Origen_USD!$C$29/1000000</f>
        <v>14555.220262649213</v>
      </c>
      <c r="L8" s="8">
        <f>Datos_Origen_USD!M8/Datos_Origen_USD!$C$29/1000000</f>
        <v>15097.107461310592</v>
      </c>
      <c r="M8" s="8">
        <f>Datos_Origen_USD!N8/Datos_Origen_USD!$C$29/1000000</f>
        <v>15493.149824450205</v>
      </c>
      <c r="N8" s="8">
        <f>Datos_Origen_USD!O8/Datos_Origen_USD!$C$29/1000000</f>
        <v>16271.877717307976</v>
      </c>
      <c r="O8" s="8">
        <f>Datos_Origen_USD!P8/Datos_Origen_USD!$C$29/1000000</f>
        <v>17061.549928756107</v>
      </c>
      <c r="P8" s="8">
        <f>Datos_Origen_USD!Q8/Datos_Origen_USD!$C$29/1000000</f>
        <v>17865.794468804688</v>
      </c>
      <c r="Q8" s="8">
        <f>Datos_Origen_USD!R8/Datos_Origen_USD!$C$29/1000000</f>
        <v>18776.633074059126</v>
      </c>
      <c r="R8" s="8">
        <f>Datos_Origen_USD!S8/Datos_Origen_USD!$C$29/1000000</f>
        <v>19461.414858344211</v>
      </c>
      <c r="S8" s="8">
        <f>Datos_Origen_USD!T8/Datos_Origen_USD!$C$29/1000000</f>
        <v>19069.251383419381</v>
      </c>
      <c r="T8" s="8">
        <f>Datos_Origen_USD!U8/Datos_Origen_USD!$C$29/1000000</f>
        <v>19504.539654894281</v>
      </c>
      <c r="U8" s="8">
        <f>Datos_Origen_USD!V8/Datos_Origen_USD!$C$29/1000000</f>
        <v>19585.817386514649</v>
      </c>
      <c r="V8" s="8">
        <f>Datos_Origen_USD!W8/Datos_Origen_USD!$C$29/1000000</f>
        <v>18910.619538615952</v>
      </c>
      <c r="W8" s="8">
        <f>Datos_Origen_USD!X8/Datos_Origen_USD!$C$29/1000000</f>
        <v>17664.886729284182</v>
      </c>
      <c r="X8" s="8">
        <f>Datos_Origen_USD!Y8/Datos_Origen_USD!$C$29/1000000</f>
        <v>17351.147975695902</v>
      </c>
      <c r="Y8" s="8">
        <f>Datos_Origen_USD!Z8/Datos_Origen_USD!$C$29/1000000</f>
        <v>17944.369911543487</v>
      </c>
      <c r="Z8" s="8">
        <f>Datos_Origen_USD!AA8/Datos_Origen_USD!$C$29/1000000</f>
        <v>19123.959362825957</v>
      </c>
      <c r="AA8" s="8">
        <f>Datos_Origen_USD!AB8/Datos_Origen_USD!$C$29/1000000</f>
        <v>20223.746207437045</v>
      </c>
      <c r="AB8" s="8">
        <f>Datos_Origen_USD!AC8/Datos_Origen_USD!$C$29/1000000</f>
        <v>21492.111536999371</v>
      </c>
      <c r="AC8" s="8">
        <f>Datos_Origen_USD!AD8/Datos_Origen_USD!$C$29/1000000</f>
        <v>22754.901147077151</v>
      </c>
      <c r="AD8" s="8">
        <f>Datos_Origen_USD!AE8/Datos_Origen_USD!$C$29/1000000</f>
        <v>22022.049931854443</v>
      </c>
      <c r="AE8" s="8">
        <f>Datos_Origen_USD!AF8/Datos_Origen_USD!$C$29/1000000</f>
        <v>24532.026083497974</v>
      </c>
      <c r="AF8" s="8">
        <f>Datos_Origen_USD!AG8/Datos_Origen_USD!$C$29/1000000</f>
        <v>26561.738697256245</v>
      </c>
      <c r="AG8" s="8">
        <f>Datos_Origen_USD!AH8/Datos_Origen_USD!$C$29/1000000</f>
        <v>27523.129260801717</v>
      </c>
      <c r="AH8" s="8">
        <f>Datos_Origen_USD!AI8/Datos_Origen_USD!$C$29/1000000</f>
        <v>28607.753532353585</v>
      </c>
    </row>
    <row r="9" spans="1:34" ht="15" customHeight="1" x14ac:dyDescent="0.35">
      <c r="A9" s="21" t="s">
        <v>68</v>
      </c>
      <c r="B9" s="11" t="s">
        <v>10</v>
      </c>
      <c r="C9" s="8">
        <f>Datos_Origen_USD!D9/Datos_Origen_USD!$C$29/1000000</f>
        <v>26913.784878251376</v>
      </c>
      <c r="D9" s="8">
        <f>Datos_Origen_USD!E9/Datos_Origen_USD!$C$29/1000000</f>
        <v>28493.751796518791</v>
      </c>
      <c r="E9" s="8">
        <f>Datos_Origen_USD!F9/Datos_Origen_USD!$C$29/1000000</f>
        <v>30417.283493781346</v>
      </c>
      <c r="F9" s="8">
        <f>Datos_Origen_USD!G9/Datos_Origen_USD!$C$29/1000000</f>
        <v>32275.469517432994</v>
      </c>
      <c r="G9" s="8">
        <f>Datos_Origen_USD!H9/Datos_Origen_USD!$C$29/1000000</f>
        <v>34266.217426376032</v>
      </c>
      <c r="H9" s="8">
        <f>Datos_Origen_USD!I9/Datos_Origen_USD!$C$29/1000000</f>
        <v>35037.782275754398</v>
      </c>
      <c r="I9" s="8">
        <f>Datos_Origen_USD!J9/Datos_Origen_USD!$C$29/1000000</f>
        <v>34740.41856932763</v>
      </c>
      <c r="J9" s="8">
        <f>Datos_Origen_USD!K9/Datos_Origen_USD!$C$29/1000000</f>
        <v>35763.611842005768</v>
      </c>
      <c r="K9" s="8">
        <f>Datos_Origen_USD!L9/Datos_Origen_USD!$C$29/1000000</f>
        <v>36876.301818611268</v>
      </c>
      <c r="L9" s="8">
        <f>Datos_Origen_USD!M9/Datos_Origen_USD!$C$29/1000000</f>
        <v>39016.354662939797</v>
      </c>
      <c r="M9" s="8">
        <f>Datos_Origen_USD!N9/Datos_Origen_USD!$C$29/1000000</f>
        <v>41188.93075453538</v>
      </c>
      <c r="N9" s="8">
        <f>Datos_Origen_USD!O9/Datos_Origen_USD!$C$29/1000000</f>
        <v>42906.708891626229</v>
      </c>
      <c r="O9" s="8">
        <f>Datos_Origen_USD!P9/Datos_Origen_USD!$C$29/1000000</f>
        <v>44763.314976681562</v>
      </c>
      <c r="P9" s="8">
        <f>Datos_Origen_USD!Q9/Datos_Origen_USD!$C$29/1000000</f>
        <v>47032.402197711679</v>
      </c>
      <c r="Q9" s="8">
        <f>Datos_Origen_USD!R9/Datos_Origen_USD!$C$29/1000000</f>
        <v>49407.198159884545</v>
      </c>
      <c r="R9" s="8">
        <f>Datos_Origen_USD!S9/Datos_Origen_USD!$C$29/1000000</f>
        <v>50381.937983442273</v>
      </c>
      <c r="S9" s="8">
        <f>Datos_Origen_USD!T9/Datos_Origen_USD!$C$29/1000000</f>
        <v>46949.763087829648</v>
      </c>
      <c r="T9" s="8">
        <f>Datos_Origen_USD!U9/Datos_Origen_USD!$C$29/1000000</f>
        <v>46322.492316380354</v>
      </c>
      <c r="U9" s="8">
        <f>Datos_Origen_USD!V9/Datos_Origen_USD!$C$29/1000000</f>
        <v>46271.117558396669</v>
      </c>
      <c r="V9" s="8">
        <f>Datos_Origen_USD!W9/Datos_Origen_USD!$C$29/1000000</f>
        <v>45235.832026495358</v>
      </c>
      <c r="W9" s="8">
        <f>Datos_Origen_USD!X9/Datos_Origen_USD!$C$29/1000000</f>
        <v>45175.376265607847</v>
      </c>
      <c r="X9" s="8">
        <f>Datos_Origen_USD!Y9/Datos_Origen_USD!$C$29/1000000</f>
        <v>44923.436393475808</v>
      </c>
      <c r="Y9" s="8">
        <f>Datos_Origen_USD!Z9/Datos_Origen_USD!$C$29/1000000</f>
        <v>45965.654245001264</v>
      </c>
      <c r="Z9" s="8">
        <f>Datos_Origen_USD!AA9/Datos_Origen_USD!$C$29/1000000</f>
        <v>47559.035788475623</v>
      </c>
      <c r="AA9" s="8">
        <f>Datos_Origen_USD!AB9/Datos_Origen_USD!$C$29/1000000</f>
        <v>49120.857029858045</v>
      </c>
      <c r="AB9" s="8">
        <f>Datos_Origen_USD!AC9/Datos_Origen_USD!$C$29/1000000</f>
        <v>50550.802477467332</v>
      </c>
      <c r="AC9" s="8">
        <f>Datos_Origen_USD!AD9/Datos_Origen_USD!$C$29/1000000</f>
        <v>52118.649183609836</v>
      </c>
      <c r="AD9" s="8">
        <f>Datos_Origen_USD!AE9/Datos_Origen_USD!$C$29/1000000</f>
        <v>47787.139123498877</v>
      </c>
      <c r="AE9" s="8">
        <f>Datos_Origen_USD!AF9/Datos_Origen_USD!$C$29/1000000</f>
        <v>53823.715208188376</v>
      </c>
      <c r="AF9" s="8">
        <f>Datos_Origen_USD!AG9/Datos_Origen_USD!$C$29/1000000</f>
        <v>57749.861051804604</v>
      </c>
      <c r="AG9" s="8">
        <f>Datos_Origen_USD!AH9/Datos_Origen_USD!$C$29/1000000</f>
        <v>59922.206047628672</v>
      </c>
      <c r="AH9" s="8">
        <f>Datos_Origen_USD!AI9/Datos_Origen_USD!$C$29/1000000</f>
        <v>62215.361178300496</v>
      </c>
    </row>
    <row r="10" spans="1:34" ht="15" customHeight="1" x14ac:dyDescent="0.35">
      <c r="A10" s="21" t="s">
        <v>70</v>
      </c>
      <c r="B10" s="11" t="s">
        <v>10</v>
      </c>
      <c r="C10" s="8">
        <f>Datos_Origen_USD!D10/Datos_Origen_USD!$C$29/1000000</f>
        <v>33343.012011899773</v>
      </c>
      <c r="D10" s="8">
        <f>Datos_Origen_USD!E10/Datos_Origen_USD!$C$29/1000000</f>
        <v>35412.122798252458</v>
      </c>
      <c r="E10" s="8">
        <f>Datos_Origen_USD!F10/Datos_Origen_USD!$C$29/1000000</f>
        <v>37481.428175312118</v>
      </c>
      <c r="F10" s="8">
        <f>Datos_Origen_USD!G10/Datos_Origen_USD!$C$29/1000000</f>
        <v>39775.133702455518</v>
      </c>
      <c r="G10" s="8">
        <f>Datos_Origen_USD!H10/Datos_Origen_USD!$C$29/1000000</f>
        <v>41957.133970926363</v>
      </c>
      <c r="H10" s="8">
        <f>Datos_Origen_USD!I10/Datos_Origen_USD!$C$29/1000000</f>
        <v>43562.459119426589</v>
      </c>
      <c r="I10" s="8">
        <f>Datos_Origen_USD!J10/Datos_Origen_USD!$C$29/1000000</f>
        <v>43356.29489845733</v>
      </c>
      <c r="J10" s="8">
        <f>Datos_Origen_USD!K10/Datos_Origen_USD!$C$29/1000000</f>
        <v>43698.473390517349</v>
      </c>
      <c r="K10" s="8">
        <f>Datos_Origen_USD!L10/Datos_Origen_USD!$C$29/1000000</f>
        <v>44976.72399231149</v>
      </c>
      <c r="L10" s="8">
        <f>Datos_Origen_USD!M10/Datos_Origen_USD!$C$29/1000000</f>
        <v>46963.459899273104</v>
      </c>
      <c r="M10" s="8">
        <f>Datos_Origen_USD!N10/Datos_Origen_USD!$C$29/1000000</f>
        <v>49244.333559222534</v>
      </c>
      <c r="N10" s="8">
        <f>Datos_Origen_USD!O10/Datos_Origen_USD!$C$29/1000000</f>
        <v>51898.356212186933</v>
      </c>
      <c r="O10" s="8">
        <f>Datos_Origen_USD!P10/Datos_Origen_USD!$C$29/1000000</f>
        <v>55263.92943726544</v>
      </c>
      <c r="P10" s="8">
        <f>Datos_Origen_USD!Q10/Datos_Origen_USD!$C$29/1000000</f>
        <v>60196.614829098784</v>
      </c>
      <c r="Q10" s="8">
        <f>Datos_Origen_USD!R10/Datos_Origen_USD!$C$29/1000000</f>
        <v>66709.063563509961</v>
      </c>
      <c r="R10" s="8">
        <f>Datos_Origen_USD!S10/Datos_Origen_USD!$C$29/1000000</f>
        <v>70286.922277226942</v>
      </c>
      <c r="S10" s="8">
        <f>Datos_Origen_USD!T10/Datos_Origen_USD!$C$29/1000000</f>
        <v>66417.38969952178</v>
      </c>
      <c r="T10" s="8">
        <f>Datos_Origen_USD!U10/Datos_Origen_USD!$C$29/1000000</f>
        <v>70927.516737961982</v>
      </c>
      <c r="U10" s="8">
        <f>Datos_Origen_USD!V10/Datos_Origen_USD!$C$29/1000000</f>
        <v>72744.980968759264</v>
      </c>
      <c r="V10" s="8">
        <f>Datos_Origen_USD!W10/Datos_Origen_USD!$C$29/1000000</f>
        <v>73886.474148286346</v>
      </c>
      <c r="W10" s="8">
        <f>Datos_Origen_USD!X10/Datos_Origen_USD!$C$29/1000000</f>
        <v>74406.13511772429</v>
      </c>
      <c r="X10" s="8">
        <f>Datos_Origen_USD!Y10/Datos_Origen_USD!$C$29/1000000</f>
        <v>76421.017180521754</v>
      </c>
      <c r="Y10" s="8">
        <f>Datos_Origen_USD!Z10/Datos_Origen_USD!$C$29/1000000</f>
        <v>80377.240844824162</v>
      </c>
      <c r="Z10" s="8">
        <f>Datos_Origen_USD!AA10/Datos_Origen_USD!$C$29/1000000</f>
        <v>81942.843543665891</v>
      </c>
      <c r="AA10" s="8">
        <f>Datos_Origen_USD!AB10/Datos_Origen_USD!$C$29/1000000</f>
        <v>84298.481733117442</v>
      </c>
      <c r="AB10" s="8">
        <f>Datos_Origen_USD!AC10/Datos_Origen_USD!$C$29/1000000</f>
        <v>87722.787066684905</v>
      </c>
      <c r="AC10" s="8">
        <f>Datos_Origen_USD!AD10/Datos_Origen_USD!$C$29/1000000</f>
        <v>89719.269188200633</v>
      </c>
      <c r="AD10" s="8">
        <f>Datos_Origen_USD!AE10/Datos_Origen_USD!$C$29/1000000</f>
        <v>87399.566342600097</v>
      </c>
      <c r="AE10" s="8">
        <f>Datos_Origen_USD!AF10/Datos_Origen_USD!$C$29/1000000</f>
        <v>92342.762412479497</v>
      </c>
      <c r="AF10" s="8">
        <f>Datos_Origen_USD!AG10/Datos_Origen_USD!$C$29/1000000</f>
        <v>92845.653369461928</v>
      </c>
      <c r="AG10" s="8">
        <f>Datos_Origen_USD!AH10/Datos_Origen_USD!$C$29/1000000</f>
        <v>94807.144375367294</v>
      </c>
      <c r="AH10" s="8">
        <f>Datos_Origen_USD!AI10/Datos_Origen_USD!$C$29/1000000</f>
        <v>96645.146265356467</v>
      </c>
    </row>
    <row r="11" spans="1:34" ht="15" customHeight="1" x14ac:dyDescent="0.35">
      <c r="A11" s="21" t="s">
        <v>72</v>
      </c>
      <c r="B11" s="11" t="s">
        <v>10</v>
      </c>
      <c r="C11" s="8">
        <f>Datos_Origen_USD!D11/Datos_Origen_USD!$C$29/1000000</f>
        <v>21718.632941261651</v>
      </c>
      <c r="D11" s="8">
        <f>Datos_Origen_USD!E11/Datos_Origen_USD!$C$29/1000000</f>
        <v>22875.690014698783</v>
      </c>
      <c r="E11" s="8">
        <f>Datos_Origen_USD!F11/Datos_Origen_USD!$C$29/1000000</f>
        <v>23815.230828556469</v>
      </c>
      <c r="F11" s="8">
        <f>Datos_Origen_USD!G11/Datos_Origen_USD!$C$29/1000000</f>
        <v>24509.115621806039</v>
      </c>
      <c r="G11" s="8">
        <f>Datos_Origen_USD!H11/Datos_Origen_USD!$C$29/1000000</f>
        <v>25776.564898356111</v>
      </c>
      <c r="H11" s="8">
        <f>Datos_Origen_USD!I11/Datos_Origen_USD!$C$29/1000000</f>
        <v>26566.313984797842</v>
      </c>
      <c r="I11" s="8">
        <f>Datos_Origen_USD!J11/Datos_Origen_USD!$C$29/1000000</f>
        <v>27965.829266294011</v>
      </c>
      <c r="J11" s="8">
        <f>Datos_Origen_USD!K11/Datos_Origen_USD!$C$29/1000000</f>
        <v>28944.051439404506</v>
      </c>
      <c r="K11" s="8">
        <f>Datos_Origen_USD!L11/Datos_Origen_USD!$C$29/1000000</f>
        <v>29762.787421326633</v>
      </c>
      <c r="L11" s="8">
        <f>Datos_Origen_USD!M11/Datos_Origen_USD!$C$29/1000000</f>
        <v>30739.77583403344</v>
      </c>
      <c r="M11" s="8">
        <f>Datos_Origen_USD!N11/Datos_Origen_USD!$C$29/1000000</f>
        <v>31721.921254244524</v>
      </c>
      <c r="N11" s="8">
        <f>Datos_Origen_USD!O11/Datos_Origen_USD!$C$29/1000000</f>
        <v>33164.006818813519</v>
      </c>
      <c r="O11" s="8">
        <f>Datos_Origen_USD!P11/Datos_Origen_USD!$C$29/1000000</f>
        <v>34442.189995846871</v>
      </c>
      <c r="P11" s="8">
        <f>Datos_Origen_USD!Q11/Datos_Origen_USD!$C$29/1000000</f>
        <v>36477.303677670396</v>
      </c>
      <c r="Q11" s="8">
        <f>Datos_Origen_USD!R11/Datos_Origen_USD!$C$29/1000000</f>
        <v>39081.50275611176</v>
      </c>
      <c r="R11" s="8">
        <f>Datos_Origen_USD!S11/Datos_Origen_USD!$C$29/1000000</f>
        <v>40399.424301408384</v>
      </c>
      <c r="S11" s="8">
        <f>Datos_Origen_USD!T11/Datos_Origen_USD!$C$29/1000000</f>
        <v>37332.87119955846</v>
      </c>
      <c r="T11" s="8">
        <f>Datos_Origen_USD!U11/Datos_Origen_USD!$C$29/1000000</f>
        <v>37748.063945408743</v>
      </c>
      <c r="U11" s="8">
        <f>Datos_Origen_USD!V11/Datos_Origen_USD!$C$29/1000000</f>
        <v>37995.479149232087</v>
      </c>
      <c r="V11" s="8">
        <f>Datos_Origen_USD!W11/Datos_Origen_USD!$C$29/1000000</f>
        <v>36887.706584592255</v>
      </c>
      <c r="W11" s="8">
        <f>Datos_Origen_USD!X11/Datos_Origen_USD!$C$29/1000000</f>
        <v>36583.834356721047</v>
      </c>
      <c r="X11" s="8">
        <f>Datos_Origen_USD!Y11/Datos_Origen_USD!$C$29/1000000</f>
        <v>37594.584706110691</v>
      </c>
      <c r="Y11" s="8">
        <f>Datos_Origen_USD!Z11/Datos_Origen_USD!$C$29/1000000</f>
        <v>38494.338237777105</v>
      </c>
      <c r="Z11" s="8">
        <f>Datos_Origen_USD!AA11/Datos_Origen_USD!$C$29/1000000</f>
        <v>39662.416160077511</v>
      </c>
      <c r="AA11" s="8">
        <f>Datos_Origen_USD!AB11/Datos_Origen_USD!$C$29/1000000</f>
        <v>41714.709076906809</v>
      </c>
      <c r="AB11" s="8">
        <f>Datos_Origen_USD!AC11/Datos_Origen_USD!$C$29/1000000</f>
        <v>43541.431008033796</v>
      </c>
      <c r="AC11" s="8">
        <f>Datos_Origen_USD!AD11/Datos_Origen_USD!$C$29/1000000</f>
        <v>45067.668465681301</v>
      </c>
      <c r="AD11" s="8">
        <f>Datos_Origen_USD!AE11/Datos_Origen_USD!$C$29/1000000</f>
        <v>43226.653780972687</v>
      </c>
      <c r="AE11" s="8">
        <f>Datos_Origen_USD!AF11/Datos_Origen_USD!$C$29/1000000</f>
        <v>46864.982690995319</v>
      </c>
      <c r="AF11" s="8">
        <f>Datos_Origen_USD!AG11/Datos_Origen_USD!$C$29/1000000</f>
        <v>48115.577357653361</v>
      </c>
      <c r="AG11" s="8">
        <f>Datos_Origen_USD!AH11/Datos_Origen_USD!$C$29/1000000</f>
        <v>49258.722961392159</v>
      </c>
      <c r="AH11" s="8">
        <f>Datos_Origen_USD!AI11/Datos_Origen_USD!$C$29/1000000</f>
        <v>50111.5871237151</v>
      </c>
    </row>
    <row r="12" spans="1:34" ht="15" customHeight="1" x14ac:dyDescent="0.35">
      <c r="A12" s="21" t="s">
        <v>74</v>
      </c>
      <c r="B12" s="11" t="s">
        <v>10</v>
      </c>
      <c r="C12" s="8">
        <f>Datos_Origen_USD!D12/Datos_Origen_USD!$C$29/1000000</f>
        <v>688050.22612641018</v>
      </c>
      <c r="D12" s="8">
        <f>Datos_Origen_USD!E12/Datos_Origen_USD!$C$29/1000000</f>
        <v>704447.80732126639</v>
      </c>
      <c r="E12" s="8">
        <f>Datos_Origen_USD!F12/Datos_Origen_USD!$C$29/1000000</f>
        <v>723872.91336196032</v>
      </c>
      <c r="F12" s="8">
        <f>Datos_Origen_USD!G12/Datos_Origen_USD!$C$29/1000000</f>
        <v>742747.25656954409</v>
      </c>
      <c r="G12" s="8">
        <f>Datos_Origen_USD!H12/Datos_Origen_USD!$C$29/1000000</f>
        <v>769391.82685123477</v>
      </c>
      <c r="H12" s="8">
        <f>Datos_Origen_USD!I12/Datos_Origen_USD!$C$29/1000000</f>
        <v>802490.88977018395</v>
      </c>
      <c r="I12" s="8">
        <f>Datos_Origen_USD!J12/Datos_Origen_USD!$C$29/1000000</f>
        <v>837871.63337320858</v>
      </c>
      <c r="J12" s="8">
        <f>Datos_Origen_USD!K12/Datos_Origen_USD!$C$29/1000000</f>
        <v>881446.33120687795</v>
      </c>
      <c r="K12" s="8">
        <f>Datos_Origen_USD!L12/Datos_Origen_USD!$C$29/1000000</f>
        <v>915990.99572251469</v>
      </c>
      <c r="L12" s="8">
        <f>Datos_Origen_USD!M12/Datos_Origen_USD!$C$29/1000000</f>
        <v>941230.72563287069</v>
      </c>
      <c r="M12" s="8">
        <f>Datos_Origen_USD!N12/Datos_Origen_USD!$C$29/1000000</f>
        <v>968896.22241923399</v>
      </c>
      <c r="N12" s="8">
        <f>Datos_Origen_USD!O12/Datos_Origen_USD!$C$29/1000000</f>
        <v>999072.80027419573</v>
      </c>
      <c r="O12" s="8">
        <f>Datos_Origen_USD!P12/Datos_Origen_USD!$C$29/1000000</f>
        <v>1034552.1291664353</v>
      </c>
      <c r="P12" s="8">
        <f>Datos_Origen_USD!Q12/Datos_Origen_USD!$C$29/1000000</f>
        <v>1076383.573664831</v>
      </c>
      <c r="Q12" s="8">
        <f>Datos_Origen_USD!R12/Datos_Origen_USD!$C$29/1000000</f>
        <v>1114417.5886574402</v>
      </c>
      <c r="R12" s="8">
        <f>Datos_Origen_USD!S12/Datos_Origen_USD!$C$29/1000000</f>
        <v>1122967.0186905451</v>
      </c>
      <c r="S12" s="8">
        <f>Datos_Origen_USD!T12/Datos_Origen_USD!$C$29/1000000</f>
        <v>1080652.1271008023</v>
      </c>
      <c r="T12" s="8">
        <f>Datos_Origen_USD!U12/Datos_Origen_USD!$C$29/1000000</f>
        <v>1081669.2618635872</v>
      </c>
      <c r="U12" s="8">
        <f>Datos_Origen_USD!V12/Datos_Origen_USD!$C$29/1000000</f>
        <v>1074747.4370380261</v>
      </c>
      <c r="V12" s="8">
        <f>Datos_Origen_USD!W12/Datos_Origen_USD!$C$29/1000000</f>
        <v>1043954.7011254529</v>
      </c>
      <c r="W12" s="8">
        <f>Datos_Origen_USD!X12/Datos_Origen_USD!$C$29/1000000</f>
        <v>1029054.1034216767</v>
      </c>
      <c r="X12" s="8">
        <f>Datos_Origen_USD!Y12/Datos_Origen_USD!$C$29/1000000</f>
        <v>1044700.7263428932</v>
      </c>
      <c r="Y12" s="8">
        <f>Datos_Origen_USD!Z12/Datos_Origen_USD!$C$29/1000000</f>
        <v>1087124.6305120506</v>
      </c>
      <c r="Z12" s="8">
        <f>Datos_Origen_USD!AA12/Datos_Origen_USD!$C$29/1000000</f>
        <v>1118816.0092532493</v>
      </c>
      <c r="AA12" s="8">
        <f>Datos_Origen_USD!AB12/Datos_Origen_USD!$C$29/1000000</f>
        <v>1151217.3916638938</v>
      </c>
      <c r="AB12" s="8">
        <f>Datos_Origen_USD!AC12/Datos_Origen_USD!$C$29/1000000</f>
        <v>1178793.7825157819</v>
      </c>
      <c r="AC12" s="8">
        <f>Datos_Origen_USD!AD12/Datos_Origen_USD!$C$29/1000000</f>
        <v>1201912.0328370347</v>
      </c>
      <c r="AD12" s="8">
        <f>Datos_Origen_USD!AE12/Datos_Origen_USD!$C$29/1000000</f>
        <v>1070422.0074736548</v>
      </c>
      <c r="AE12" s="8">
        <f>Datos_Origen_USD!AF12/Datos_Origen_USD!$C$29/1000000</f>
        <v>1141959.8538322849</v>
      </c>
      <c r="AF12" s="8">
        <f>Datos_Origen_USD!AG12/Datos_Origen_USD!$C$29/1000000</f>
        <v>1214706.3179192881</v>
      </c>
      <c r="AG12" s="8">
        <f>Datos_Origen_USD!AH12/Datos_Origen_USD!$C$29/1000000</f>
        <v>1244598.515132285</v>
      </c>
      <c r="AH12" s="8">
        <f>Datos_Origen_USD!AI12/Datos_Origen_USD!$C$29/1000000</f>
        <v>1287602.5558110594</v>
      </c>
    </row>
    <row r="13" spans="1:34" ht="15" customHeight="1" x14ac:dyDescent="0.35">
      <c r="A13" s="21" t="s">
        <v>76</v>
      </c>
      <c r="B13" s="11" t="s">
        <v>10</v>
      </c>
      <c r="C13" s="8">
        <f>Datos_Origen_USD!D13/Datos_Origen_USD!$C$29/1000000</f>
        <v>9031.5088612958989</v>
      </c>
      <c r="D13" s="8">
        <f>Datos_Origen_USD!E13/Datos_Origen_USD!$C$29/1000000</f>
        <v>8883.1731359748101</v>
      </c>
      <c r="E13" s="8">
        <f>Datos_Origen_USD!F13/Datos_Origen_USD!$C$29/1000000</f>
        <v>9285.2861168894997</v>
      </c>
      <c r="F13" s="8">
        <f>Datos_Origen_USD!G13/Datos_Origen_USD!$C$29/1000000</f>
        <v>9744.2589481458326</v>
      </c>
      <c r="G13" s="8">
        <f>Datos_Origen_USD!H13/Datos_Origen_USD!$C$29/1000000</f>
        <v>11015.88675840685</v>
      </c>
      <c r="H13" s="8">
        <f>Datos_Origen_USD!I13/Datos_Origen_USD!$C$29/1000000</f>
        <v>11493.95725364777</v>
      </c>
      <c r="I13" s="8">
        <f>Datos_Origen_USD!J13/Datos_Origen_USD!$C$29/1000000</f>
        <v>11445.105019063001</v>
      </c>
      <c r="J13" s="8">
        <f>Datos_Origen_USD!K13/Datos_Origen_USD!$C$29/1000000</f>
        <v>12599.645848492833</v>
      </c>
      <c r="K13" s="8">
        <f>Datos_Origen_USD!L13/Datos_Origen_USD!$C$29/1000000</f>
        <v>13340.599004555746</v>
      </c>
      <c r="L13" s="8">
        <f>Datos_Origen_USD!M13/Datos_Origen_USD!$C$29/1000000</f>
        <v>14265.5028437571</v>
      </c>
      <c r="M13" s="8">
        <f>Datos_Origen_USD!N13/Datos_Origen_USD!$C$29/1000000</f>
        <v>15349.153494529608</v>
      </c>
      <c r="N13" s="8">
        <f>Datos_Origen_USD!O13/Datos_Origen_USD!$C$29/1000000</f>
        <v>16393.003546237225</v>
      </c>
      <c r="O13" s="8">
        <f>Datos_Origen_USD!P13/Datos_Origen_USD!$C$29/1000000</f>
        <v>17954.118103974582</v>
      </c>
      <c r="P13" s="8">
        <f>Datos_Origen_USD!Q13/Datos_Origen_USD!$C$29/1000000</f>
        <v>19706.901687327718</v>
      </c>
      <c r="Q13" s="8">
        <f>Datos_Origen_USD!R13/Datos_Origen_USD!$C$29/1000000</f>
        <v>21198.895210715007</v>
      </c>
      <c r="R13" s="8">
        <f>Datos_Origen_USD!S13/Datos_Origen_USD!$C$29/1000000</f>
        <v>20112.3857874731</v>
      </c>
      <c r="S13" s="8">
        <f>Datos_Origen_USD!T13/Datos_Origen_USD!$C$29/1000000</f>
        <v>17169.89898810122</v>
      </c>
      <c r="T13" s="8">
        <f>Datos_Origen_USD!U13/Datos_Origen_USD!$C$29/1000000</f>
        <v>17590.518624000899</v>
      </c>
      <c r="U13" s="8">
        <f>Datos_Origen_USD!V13/Datos_Origen_USD!$C$29/1000000</f>
        <v>18928.624905825058</v>
      </c>
      <c r="V13" s="8">
        <f>Datos_Origen_USD!W13/Datos_Origen_USD!$C$29/1000000</f>
        <v>19623.687556764398</v>
      </c>
      <c r="W13" s="8">
        <f>Datos_Origen_USD!X13/Datos_Origen_USD!$C$29/1000000</f>
        <v>19968.376411288329</v>
      </c>
      <c r="X13" s="8">
        <f>Datos_Origen_USD!Y13/Datos_Origen_USD!$C$29/1000000</f>
        <v>20631.883602247679</v>
      </c>
      <c r="Y13" s="8">
        <f>Datos_Origen_USD!Z13/Datos_Origen_USD!$C$29/1000000</f>
        <v>21011.1291130594</v>
      </c>
      <c r="Z13" s="8">
        <f>Datos_Origen_USD!AA13/Datos_Origen_USD!$C$29/1000000</f>
        <v>21661.007372243083</v>
      </c>
      <c r="AA13" s="8">
        <f>Datos_Origen_USD!AB13/Datos_Origen_USD!$C$29/1000000</f>
        <v>22881.53419562578</v>
      </c>
      <c r="AB13" s="8">
        <f>Datos_Origen_USD!AC13/Datos_Origen_USD!$C$29/1000000</f>
        <v>23728.08175832195</v>
      </c>
      <c r="AC13" s="8">
        <f>Datos_Origen_USD!AD13/Datos_Origen_USD!$C$29/1000000</f>
        <v>24612.344183026231</v>
      </c>
      <c r="AD13" s="8">
        <f>Datos_Origen_USD!AE13/Datos_Origen_USD!$C$29/1000000</f>
        <v>23902.571551898334</v>
      </c>
      <c r="AE13" s="8">
        <f>Datos_Origen_USD!AF13/Datos_Origen_USD!$C$29/1000000</f>
        <v>25875.700256979449</v>
      </c>
      <c r="AF13" s="8">
        <f>Datos_Origen_USD!AG13/Datos_Origen_USD!$C$29/1000000</f>
        <v>25558.420269594862</v>
      </c>
      <c r="AG13" s="8">
        <f>Datos_Origen_USD!AH13/Datos_Origen_USD!$C$29/1000000</f>
        <v>24857.041207215054</v>
      </c>
      <c r="AH13" s="8">
        <f>Datos_Origen_USD!AI13/Datos_Origen_USD!$C$29/1000000</f>
        <v>24834.659215195225</v>
      </c>
    </row>
    <row r="14" spans="1:34" ht="15" customHeight="1" x14ac:dyDescent="0.35">
      <c r="A14" s="21" t="s">
        <v>78</v>
      </c>
      <c r="B14" s="11" t="s">
        <v>10</v>
      </c>
      <c r="C14" s="8">
        <f>Datos_Origen_USD!D14/Datos_Origen_USD!$C$29/1000000</f>
        <v>126982.47526139433</v>
      </c>
      <c r="D14" s="8">
        <f>Datos_Origen_USD!E14/Datos_Origen_USD!$C$29/1000000</f>
        <v>132016.53401874719</v>
      </c>
      <c r="E14" s="8">
        <f>Datos_Origen_USD!F14/Datos_Origen_USD!$C$29/1000000</f>
        <v>137606.5987042677</v>
      </c>
      <c r="F14" s="8">
        <f>Datos_Origen_USD!G14/Datos_Origen_USD!$C$29/1000000</f>
        <v>142646.6566579261</v>
      </c>
      <c r="G14" s="8">
        <f>Datos_Origen_USD!H14/Datos_Origen_USD!$C$29/1000000</f>
        <v>151772.76278669492</v>
      </c>
      <c r="H14" s="8">
        <f>Datos_Origen_USD!I14/Datos_Origen_USD!$C$29/1000000</f>
        <v>160050.85938588105</v>
      </c>
      <c r="I14" s="8">
        <f>Datos_Origen_USD!J14/Datos_Origen_USD!$C$29/1000000</f>
        <v>167075.9408730861</v>
      </c>
      <c r="J14" s="8">
        <f>Datos_Origen_USD!K14/Datos_Origen_USD!$C$29/1000000</f>
        <v>176689.05227906533</v>
      </c>
      <c r="K14" s="8">
        <f>Datos_Origen_USD!L14/Datos_Origen_USD!$C$29/1000000</f>
        <v>181354.10628525013</v>
      </c>
      <c r="L14" s="8">
        <f>Datos_Origen_USD!M14/Datos_Origen_USD!$C$29/1000000</f>
        <v>184414.14207712124</v>
      </c>
      <c r="M14" s="8">
        <f>Datos_Origen_USD!N14/Datos_Origen_USD!$C$29/1000000</f>
        <v>188124.1856535133</v>
      </c>
      <c r="N14" s="8">
        <f>Datos_Origen_USD!O14/Datos_Origen_USD!$C$29/1000000</f>
        <v>195659.27326306896</v>
      </c>
      <c r="O14" s="8">
        <f>Datos_Origen_USD!P14/Datos_Origen_USD!$C$29/1000000</f>
        <v>201093.33623106085</v>
      </c>
      <c r="P14" s="8">
        <f>Datos_Origen_USD!Q14/Datos_Origen_USD!$C$29/1000000</f>
        <v>209176.43021222085</v>
      </c>
      <c r="Q14" s="8">
        <f>Datos_Origen_USD!R14/Datos_Origen_USD!$C$29/1000000</f>
        <v>220289.55929256065</v>
      </c>
      <c r="R14" s="8">
        <f>Datos_Origen_USD!S14/Datos_Origen_USD!$C$29/1000000</f>
        <v>222017.57940467508</v>
      </c>
      <c r="S14" s="8">
        <f>Datos_Origen_USD!T14/Datos_Origen_USD!$C$29/1000000</f>
        <v>204087.3704990113</v>
      </c>
      <c r="T14" s="8">
        <f>Datos_Origen_USD!U14/Datos_Origen_USD!$C$29/1000000</f>
        <v>210553.44598878146</v>
      </c>
      <c r="U14" s="8">
        <f>Datos_Origen_USD!V14/Datos_Origen_USD!$C$29/1000000</f>
        <v>215586.50409488959</v>
      </c>
      <c r="V14" s="8">
        <f>Datos_Origen_USD!W14/Datos_Origen_USD!$C$29/1000000</f>
        <v>212303.46629479137</v>
      </c>
      <c r="W14" s="8">
        <f>Datos_Origen_USD!X14/Datos_Origen_USD!$C$29/1000000</f>
        <v>210223.44213811087</v>
      </c>
      <c r="X14" s="8">
        <f>Datos_Origen_USD!Y14/Datos_Origen_USD!$C$29/1000000</f>
        <v>209218.43023975578</v>
      </c>
      <c r="Y14" s="8">
        <f>Datos_Origen_USD!Z14/Datos_Origen_USD!$C$29/1000000</f>
        <v>210194.44209666518</v>
      </c>
      <c r="Z14" s="8">
        <f>Datos_Origen_USD!AA14/Datos_Origen_USD!$C$29/1000000</f>
        <v>215600.50473222262</v>
      </c>
      <c r="AA14" s="8">
        <f>Datos_Origen_USD!AB14/Datos_Origen_USD!$C$29/1000000</f>
        <v>222722.5872028193</v>
      </c>
      <c r="AB14" s="8">
        <f>Datos_Origen_USD!AC14/Datos_Origen_USD!$C$29/1000000</f>
        <v>225379.61777254893</v>
      </c>
      <c r="AC14" s="8">
        <f>Datos_Origen_USD!AD14/Datos_Origen_USD!$C$29/1000000</f>
        <v>228421.65314880578</v>
      </c>
      <c r="AD14" s="8">
        <f>Datos_Origen_USD!AE14/Datos_Origen_USD!$C$29/1000000</f>
        <v>222731.58741062641</v>
      </c>
      <c r="AE14" s="8">
        <f>Datos_Origen_USD!AF14/Datos_Origen_USD!$C$29/1000000</f>
        <v>228692.65626533848</v>
      </c>
      <c r="AF14" s="8">
        <f>Datos_Origen_USD!AG14/Datos_Origen_USD!$C$29/1000000</f>
        <v>230437.677084055</v>
      </c>
      <c r="AG14" s="8">
        <f>Datos_Origen_USD!AH14/Datos_Origen_USD!$C$29/1000000</f>
        <v>228273.65193007299</v>
      </c>
      <c r="AH14" s="8">
        <f>Datos_Origen_USD!AI14/Datos_Origen_USD!$C$29/1000000</f>
        <v>229223.66287257324</v>
      </c>
    </row>
    <row r="15" spans="1:34" ht="15" customHeight="1" x14ac:dyDescent="0.35">
      <c r="A15" s="21" t="s">
        <v>80</v>
      </c>
      <c r="B15" s="11" t="s">
        <v>10</v>
      </c>
      <c r="C15" s="8">
        <f>Datos_Origen_USD!D15/Datos_Origen_USD!$C$29/1000000</f>
        <v>1505256.2557537542</v>
      </c>
      <c r="D15" s="8">
        <f>Datos_Origen_USD!E15/Datos_Origen_USD!$C$29/1000000</f>
        <v>1541136.4599814422</v>
      </c>
      <c r="E15" s="8">
        <f>Datos_Origen_USD!F15/Datos_Origen_USD!$C$29/1000000</f>
        <v>1576656.4619014873</v>
      </c>
      <c r="F15" s="8">
        <f>Datos_Origen_USD!G15/Datos_Origen_USD!$C$29/1000000</f>
        <v>1598683.6119811267</v>
      </c>
      <c r="G15" s="8">
        <f>Datos_Origen_USD!H15/Datos_Origen_USD!$C$29/1000000</f>
        <v>1639083.3321875171</v>
      </c>
      <c r="H15" s="8">
        <f>Datos_Origen_USD!I15/Datos_Origen_USD!$C$29/1000000</f>
        <v>1695674.2305883372</v>
      </c>
      <c r="I15" s="8">
        <f>Datos_Origen_USD!J15/Datos_Origen_USD!$C$29/1000000</f>
        <v>1753315.4218564671</v>
      </c>
      <c r="J15" s="8">
        <f>Datos_Origen_USD!K15/Datos_Origen_USD!$C$29/1000000</f>
        <v>1825920.2128448582</v>
      </c>
      <c r="K15" s="8">
        <f>Datos_Origen_USD!L15/Datos_Origen_USD!$C$29/1000000</f>
        <v>1860602.9649508428</v>
      </c>
      <c r="L15" s="8">
        <f>Datos_Origen_USD!M15/Datos_Origen_USD!$C$29/1000000</f>
        <v>1880469.5581456514</v>
      </c>
      <c r="M15" s="8">
        <f>Datos_Origen_USD!N15/Datos_Origen_USD!$C$29/1000000</f>
        <v>1898669.2536891212</v>
      </c>
      <c r="N15" s="8">
        <f>Datos_Origen_USD!O15/Datos_Origen_USD!$C$29/1000000</f>
        <v>1953127.8445262641</v>
      </c>
      <c r="O15" s="8">
        <f>Datos_Origen_USD!P15/Datos_Origen_USD!$C$29/1000000</f>
        <v>1990013.9498308608</v>
      </c>
      <c r="P15" s="8">
        <f>Datos_Origen_USD!Q15/Datos_Origen_USD!$C$29/1000000</f>
        <v>2044024.2117405587</v>
      </c>
      <c r="Q15" s="8">
        <f>Datos_Origen_USD!R15/Datos_Origen_USD!$C$29/1000000</f>
        <v>2095747.8741132312</v>
      </c>
      <c r="R15" s="8">
        <f>Datos_Origen_USD!S15/Datos_Origen_USD!$C$29/1000000</f>
        <v>2103715.3088980261</v>
      </c>
      <c r="S15" s="8">
        <f>Datos_Origen_USD!T15/Datos_Origen_USD!$C$29/1000000</f>
        <v>2044294.7858033259</v>
      </c>
      <c r="T15" s="8">
        <f>Datos_Origen_USD!U15/Datos_Origen_USD!$C$29/1000000</f>
        <v>2085187.320579126</v>
      </c>
      <c r="U15" s="8">
        <f>Datos_Origen_USD!V15/Datos_Origen_USD!$C$29/1000000</f>
        <v>2136015.3574641105</v>
      </c>
      <c r="V15" s="8">
        <f>Datos_Origen_USD!W15/Datos_Origen_USD!$C$29/1000000</f>
        <v>2139942.1069563678</v>
      </c>
      <c r="W15" s="8">
        <f>Datos_Origen_USD!X15/Datos_Origen_USD!$C$29/1000000</f>
        <v>2156671.2423231099</v>
      </c>
      <c r="X15" s="8">
        <f>Datos_Origen_USD!Y15/Datos_Origen_USD!$C$29/1000000</f>
        <v>2178191.2185438578</v>
      </c>
      <c r="Y15" s="8">
        <f>Datos_Origen_USD!Z15/Datos_Origen_USD!$C$29/1000000</f>
        <v>2201427.176784588</v>
      </c>
      <c r="Z15" s="8">
        <f>Datos_Origen_USD!AA15/Datos_Origen_USD!$C$29/1000000</f>
        <v>2220360.1346077602</v>
      </c>
      <c r="AA15" s="8">
        <f>Datos_Origen_USD!AB15/Datos_Origen_USD!$C$29/1000000</f>
        <v>2266623.8883173866</v>
      </c>
      <c r="AB15" s="8">
        <f>Datos_Origen_USD!AC15/Datos_Origen_USD!$C$29/1000000</f>
        <v>2303930.4486345379</v>
      </c>
      <c r="AC15" s="8">
        <f>Datos_Origen_USD!AD15/Datos_Origen_USD!$C$29/1000000</f>
        <v>2350641.4050528351</v>
      </c>
      <c r="AD15" s="8">
        <f>Datos_Origen_USD!AE15/Datos_Origen_USD!$C$29/1000000</f>
        <v>2175738.5017362414</v>
      </c>
      <c r="AE15" s="8">
        <f>Datos_Origen_USD!AF15/Datos_Origen_USD!$C$29/1000000</f>
        <v>2325480.1758014872</v>
      </c>
      <c r="AF15" s="8">
        <f>Datos_Origen_USD!AG15/Datos_Origen_USD!$C$29/1000000</f>
        <v>2388657.952461496</v>
      </c>
      <c r="AG15" s="8">
        <f>Datos_Origen_USD!AH15/Datos_Origen_USD!$C$29/1000000</f>
        <v>2423035.874683389</v>
      </c>
      <c r="AH15" s="8">
        <f>Datos_Origen_USD!AI15/Datos_Origen_USD!$C$29/1000000</f>
        <v>2451881.3409822532</v>
      </c>
    </row>
    <row r="16" spans="1:34" ht="15" customHeight="1" x14ac:dyDescent="0.35">
      <c r="A16" s="21" t="s">
        <v>82</v>
      </c>
      <c r="B16" s="11" t="s">
        <v>10</v>
      </c>
      <c r="C16" s="8">
        <f>Datos_Origen_USD!D16/Datos_Origen_USD!$C$29/1000000</f>
        <v>144954.88385900497</v>
      </c>
      <c r="D16" s="8">
        <f>Datos_Origen_USD!E16/Datos_Origen_USD!$C$29/1000000</f>
        <v>147853.98131476343</v>
      </c>
      <c r="E16" s="8">
        <f>Datos_Origen_USD!F16/Datos_Origen_USD!$C$29/1000000</f>
        <v>150958.50023979091</v>
      </c>
      <c r="F16" s="8">
        <f>Datos_Origen_USD!G16/Datos_Origen_USD!$C$29/1000000</f>
        <v>153045.45708343849</v>
      </c>
      <c r="G16" s="8">
        <f>Datos_Origen_USD!H16/Datos_Origen_USD!$C$29/1000000</f>
        <v>158559.50624478774</v>
      </c>
      <c r="H16" s="8">
        <f>Datos_Origen_USD!I16/Datos_Origen_USD!$C$29/1000000</f>
        <v>164009.09467384769</v>
      </c>
      <c r="I16" s="8">
        <f>Datos_Origen_USD!J16/Datos_Origen_USD!$C$29/1000000</f>
        <v>168369.74490379629</v>
      </c>
      <c r="J16" s="8">
        <f>Datos_Origen_USD!K16/Datos_Origen_USD!$C$29/1000000</f>
        <v>175336.59365825239</v>
      </c>
      <c r="K16" s="8">
        <f>Datos_Origen_USD!L16/Datos_Origen_USD!$C$29/1000000</f>
        <v>183490.47219909777</v>
      </c>
      <c r="L16" s="8">
        <f>Datos_Origen_USD!M16/Datos_Origen_USD!$C$29/1000000</f>
        <v>192083.58289070934</v>
      </c>
      <c r="M16" s="8">
        <f>Datos_Origen_USD!N16/Datos_Origen_USD!$C$29/1000000</f>
        <v>203218.32770917894</v>
      </c>
      <c r="N16" s="8">
        <f>Datos_Origen_USD!O16/Datos_Origen_USD!$C$29/1000000</f>
        <v>214147.13776387024</v>
      </c>
      <c r="O16" s="8">
        <f>Datos_Origen_USD!P16/Datos_Origen_USD!$C$29/1000000</f>
        <v>216681.58274821271</v>
      </c>
      <c r="P16" s="8">
        <f>Datos_Origen_USD!Q16/Datos_Origen_USD!$C$29/1000000</f>
        <v>230643.23870455072</v>
      </c>
      <c r="Q16" s="8">
        <f>Datos_Origen_USD!R16/Datos_Origen_USD!$C$29/1000000</f>
        <v>238731.59671091393</v>
      </c>
      <c r="R16" s="8">
        <f>Datos_Origen_USD!S16/Datos_Origen_USD!$C$29/1000000</f>
        <v>238868.80536567373</v>
      </c>
      <c r="S16" s="8">
        <f>Datos_Origen_USD!T16/Datos_Origen_USD!$C$29/1000000</f>
        <v>229029.13983435874</v>
      </c>
      <c r="T16" s="8">
        <f>Datos_Origen_USD!U16/Datos_Origen_USD!$C$29/1000000</f>
        <v>215988.81330341686</v>
      </c>
      <c r="U16" s="8">
        <f>Datos_Origen_USD!V16/Datos_Origen_USD!$C$29/1000000</f>
        <v>194656.07608220281</v>
      </c>
      <c r="V16" s="8">
        <f>Datos_Origen_USD!W16/Datos_Origen_USD!$C$29/1000000</f>
        <v>178439.01713392787</v>
      </c>
      <c r="W16" s="8">
        <f>Datos_Origen_USD!X16/Datos_Origen_USD!$C$29/1000000</f>
        <v>174384.67389299325</v>
      </c>
      <c r="X16" s="8">
        <f>Datos_Origen_USD!Y16/Datos_Origen_USD!$C$29/1000000</f>
        <v>175766.19298205228</v>
      </c>
      <c r="Y16" s="8">
        <f>Datos_Origen_USD!Z16/Datos_Origen_USD!$C$29/1000000</f>
        <v>175364.91543767374</v>
      </c>
      <c r="Z16" s="8">
        <f>Datos_Origen_USD!AA16/Datos_Origen_USD!$C$29/1000000</f>
        <v>175309.15856993513</v>
      </c>
      <c r="AA16" s="8">
        <f>Datos_Origen_USD!AB16/Datos_Origen_USD!$C$29/1000000</f>
        <v>177891.68113356645</v>
      </c>
      <c r="AB16" s="8">
        <f>Datos_Origen_USD!AC16/Datos_Origen_USD!$C$29/1000000</f>
        <v>181564.5610046598</v>
      </c>
      <c r="AC16" s="8">
        <f>Datos_Origen_USD!AD16/Datos_Origen_USD!$C$29/1000000</f>
        <v>185699.11406119424</v>
      </c>
      <c r="AD16" s="8">
        <f>Datos_Origen_USD!AE16/Datos_Origen_USD!$C$29/1000000</f>
        <v>168621.79364374766</v>
      </c>
      <c r="AE16" s="8">
        <f>Datos_Origen_USD!AF16/Datos_Origen_USD!$C$29/1000000</f>
        <v>183215.16316617487</v>
      </c>
      <c r="AF16" s="8">
        <f>Datos_Origen_USD!AG16/Datos_Origen_USD!$C$29/1000000</f>
        <v>193332.27847045698</v>
      </c>
      <c r="AG16" s="8">
        <f>Datos_Origen_USD!AH16/Datos_Origen_USD!$C$29/1000000</f>
        <v>197461.68449145652</v>
      </c>
      <c r="AH16" s="8">
        <f>Datos_Origen_USD!AI16/Datos_Origen_USD!$C$29/1000000</f>
        <v>201581.86932755657</v>
      </c>
    </row>
    <row r="17" spans="1:34" ht="15" customHeight="1" x14ac:dyDescent="0.35">
      <c r="A17" s="21" t="s">
        <v>84</v>
      </c>
      <c r="B17" s="11" t="s">
        <v>10</v>
      </c>
      <c r="C17" s="8">
        <f>Datos_Origen_USD!D17/Datos_Origen_USD!$C$29/1000000</f>
        <v>80364.747811166468</v>
      </c>
      <c r="D17" s="8">
        <f>Datos_Origen_USD!E17/Datos_Origen_USD!$C$29/1000000</f>
        <v>84990.404444196669</v>
      </c>
      <c r="E17" s="8">
        <f>Datos_Origen_USD!F17/Datos_Origen_USD!$C$29/1000000</f>
        <v>93178.738128669676</v>
      </c>
      <c r="F17" s="8">
        <f>Datos_Origen_USD!G17/Datos_Origen_USD!$C$29/1000000</f>
        <v>100054.97926330872</v>
      </c>
      <c r="G17" s="8">
        <f>Datos_Origen_USD!H17/Datos_Origen_USD!$C$29/1000000</f>
        <v>111082.80403089772</v>
      </c>
      <c r="H17" s="8">
        <f>Datos_Origen_USD!I17/Datos_Origen_USD!$C$29/1000000</f>
        <v>120820.45888321586</v>
      </c>
      <c r="I17" s="8">
        <f>Datos_Origen_USD!J17/Datos_Origen_USD!$C$29/1000000</f>
        <v>133542.715036612</v>
      </c>
      <c r="J17" s="8">
        <f>Datos_Origen_USD!K17/Datos_Origen_USD!$C$29/1000000</f>
        <v>146100.43731559263</v>
      </c>
      <c r="K17" s="8">
        <f>Datos_Origen_USD!L17/Datos_Origen_USD!$C$29/1000000</f>
        <v>153852.26548942048</v>
      </c>
      <c r="L17" s="8">
        <f>Datos_Origen_USD!M17/Datos_Origen_USD!$C$29/1000000</f>
        <v>162928.57228493737</v>
      </c>
      <c r="M17" s="8">
        <f>Datos_Origen_USD!N17/Datos_Origen_USD!$C$29/1000000</f>
        <v>167838.97663997748</v>
      </c>
      <c r="N17" s="8">
        <f>Datos_Origen_USD!O17/Datos_Origen_USD!$C$29/1000000</f>
        <v>179232.12119145651</v>
      </c>
      <c r="O17" s="8">
        <f>Datos_Origen_USD!P17/Datos_Origen_USD!$C$29/1000000</f>
        <v>189519.65426887519</v>
      </c>
      <c r="P17" s="8">
        <f>Datos_Origen_USD!Q17/Datos_Origen_USD!$C$29/1000000</f>
        <v>198972.61725303021</v>
      </c>
      <c r="Q17" s="8">
        <f>Datos_Origen_USD!R17/Datos_Origen_USD!$C$29/1000000</f>
        <v>209538.29863165211</v>
      </c>
      <c r="R17" s="8">
        <f>Datos_Origen_USD!S17/Datos_Origen_USD!$C$29/1000000</f>
        <v>200142.45294603697</v>
      </c>
      <c r="S17" s="8">
        <f>Datos_Origen_USD!T17/Datos_Origen_USD!$C$29/1000000</f>
        <v>189943.62829506805</v>
      </c>
      <c r="T17" s="8">
        <f>Datos_Origen_USD!U17/Datos_Origen_USD!$C$29/1000000</f>
        <v>193140.32590943942</v>
      </c>
      <c r="U17" s="8">
        <f>Datos_Origen_USD!V17/Datos_Origen_USD!$C$29/1000000</f>
        <v>196247.69589006942</v>
      </c>
      <c r="V17" s="8">
        <f>Datos_Origen_USD!W17/Datos_Origen_USD!$C$29/1000000</f>
        <v>195452.83499233439</v>
      </c>
      <c r="W17" s="8">
        <f>Datos_Origen_USD!X17/Datos_Origen_USD!$C$29/1000000</f>
        <v>199738.99365229023</v>
      </c>
      <c r="X17" s="8">
        <f>Datos_Origen_USD!Y17/Datos_Origen_USD!$C$29/1000000</f>
        <v>218486.08283847861</v>
      </c>
      <c r="Y17" s="8">
        <f>Datos_Origen_USD!Z17/Datos_Origen_USD!$C$29/1000000</f>
        <v>272286.06449416041</v>
      </c>
      <c r="Z17" s="8">
        <f>Datos_Origen_USD!AA17/Datos_Origen_USD!$C$29/1000000</f>
        <v>275615.35143501131</v>
      </c>
      <c r="AA17" s="8">
        <f>Datos_Origen_USD!AB17/Datos_Origen_USD!$C$29/1000000</f>
        <v>303476.91485349712</v>
      </c>
      <c r="AB17" s="8">
        <f>Datos_Origen_USD!AC17/Datos_Origen_USD!$C$29/1000000</f>
        <v>326810.22111644258</v>
      </c>
      <c r="AC17" s="8">
        <f>Datos_Origen_USD!AD17/Datos_Origen_USD!$C$29/1000000</f>
        <v>343062.10136340064</v>
      </c>
      <c r="AD17" s="8">
        <f>Datos_Origen_USD!AE17/Datos_Origen_USD!$C$29/1000000</f>
        <v>367603.71795228752</v>
      </c>
      <c r="AE17" s="8">
        <f>Datos_Origen_USD!AF17/Datos_Origen_USD!$C$29/1000000</f>
        <v>427369.42193771701</v>
      </c>
      <c r="AF17" s="8">
        <f>Datos_Origen_USD!AG17/Datos_Origen_USD!$C$29/1000000</f>
        <v>459469.73276786128</v>
      </c>
      <c r="AG17" s="8">
        <f>Datos_Origen_USD!AH17/Datos_Origen_USD!$C$29/1000000</f>
        <v>447815.86150015151</v>
      </c>
      <c r="AH17" s="8">
        <f>Datos_Origen_USD!AI17/Datos_Origen_USD!$C$29/1000000</f>
        <v>459456.68800582335</v>
      </c>
    </row>
    <row r="18" spans="1:34" ht="15" customHeight="1" x14ac:dyDescent="0.35">
      <c r="A18" s="21" t="s">
        <v>86</v>
      </c>
      <c r="B18" s="11" t="s">
        <v>10</v>
      </c>
      <c r="C18" s="8">
        <f>Datos_Origen_USD!D18/Datos_Origen_USD!$C$29/1000000</f>
        <v>1433597.8158158902</v>
      </c>
      <c r="D18" s="8">
        <f>Datos_Origen_USD!E18/Datos_Origen_USD!$C$29/1000000</f>
        <v>1464434.8441774223</v>
      </c>
      <c r="E18" s="8">
        <f>Datos_Origen_USD!F18/Datos_Origen_USD!$C$29/1000000</f>
        <v>1506710.6869887516</v>
      </c>
      <c r="F18" s="8">
        <f>Datos_Origen_USD!G18/Datos_Origen_USD!$C$29/1000000</f>
        <v>1526984.7565498874</v>
      </c>
      <c r="G18" s="8">
        <f>Datos_Origen_USD!H18/Datos_Origen_USD!$C$29/1000000</f>
        <v>1556390.2261258585</v>
      </c>
      <c r="H18" s="8">
        <f>Datos_Origen_USD!I18/Datos_Origen_USD!$C$29/1000000</f>
        <v>1584473.315527607</v>
      </c>
      <c r="I18" s="8">
        <f>Datos_Origen_USD!J18/Datos_Origen_USD!$C$29/1000000</f>
        <v>1611060.6443405501</v>
      </c>
      <c r="J18" s="8">
        <f>Datos_Origen_USD!K18/Datos_Origen_USD!$C$29/1000000</f>
        <v>1673603.6110973866</v>
      </c>
      <c r="K18" s="8">
        <f>Datos_Origen_USD!L18/Datos_Origen_USD!$C$29/1000000</f>
        <v>1707183.3512332945</v>
      </c>
      <c r="L18" s="8">
        <f>Datos_Origen_USD!M18/Datos_Origen_USD!$C$29/1000000</f>
        <v>1711791.5455135289</v>
      </c>
      <c r="M18" s="8">
        <f>Datos_Origen_USD!N18/Datos_Origen_USD!$C$29/1000000</f>
        <v>1712930.8079870392</v>
      </c>
      <c r="N18" s="8">
        <f>Datos_Origen_USD!O18/Datos_Origen_USD!$C$29/1000000</f>
        <v>1738179.7799136189</v>
      </c>
      <c r="O18" s="8">
        <f>Datos_Origen_USD!P18/Datos_Origen_USD!$C$29/1000000</f>
        <v>1751431.8481464623</v>
      </c>
      <c r="P18" s="8">
        <f>Datos_Origen_USD!Q18/Datos_Origen_USD!$C$29/1000000</f>
        <v>1782948.5126073728</v>
      </c>
      <c r="Q18" s="8">
        <f>Datos_Origen_USD!R18/Datos_Origen_USD!$C$29/1000000</f>
        <v>1809020.427014403</v>
      </c>
      <c r="R18" s="8">
        <f>Datos_Origen_USD!S18/Datos_Origen_USD!$C$29/1000000</f>
        <v>1790511.6423398107</v>
      </c>
      <c r="S18" s="8">
        <f>Datos_Origen_USD!T18/Datos_Origen_USD!$C$29/1000000</f>
        <v>1695522.2421048132</v>
      </c>
      <c r="T18" s="8">
        <f>Datos_Origen_USD!U18/Datos_Origen_USD!$C$29/1000000</f>
        <v>1721448.5699041551</v>
      </c>
      <c r="U18" s="8">
        <f>Datos_Origen_USD!V18/Datos_Origen_USD!$C$29/1000000</f>
        <v>1733420.6104304735</v>
      </c>
      <c r="V18" s="8">
        <f>Datos_Origen_USD!W18/Datos_Origen_USD!$C$29/1000000</f>
        <v>1679247.0774170798</v>
      </c>
      <c r="W18" s="8">
        <f>Datos_Origen_USD!X18/Datos_Origen_USD!$C$29/1000000</f>
        <v>1648717.9439327086</v>
      </c>
      <c r="X18" s="8">
        <f>Datos_Origen_USD!Y18/Datos_Origen_USD!$C$29/1000000</f>
        <v>1648695.0660372151</v>
      </c>
      <c r="Y18" s="8">
        <f>Datos_Origen_USD!Z18/Datos_Origen_USD!$C$29/1000000</f>
        <v>1663297.0246409194</v>
      </c>
      <c r="Z18" s="8">
        <f>Datos_Origen_USD!AA18/Datos_Origen_USD!$C$29/1000000</f>
        <v>1683859.0531676521</v>
      </c>
      <c r="AA18" s="8">
        <f>Datos_Origen_USD!AB18/Datos_Origen_USD!$C$29/1000000</f>
        <v>1710863.100010888</v>
      </c>
      <c r="AB18" s="8">
        <f>Datos_Origen_USD!AC18/Datos_Origen_USD!$C$29/1000000</f>
        <v>1725005.8935798379</v>
      </c>
      <c r="AC18" s="8">
        <f>Datos_Origen_USD!AD18/Datos_Origen_USD!$C$29/1000000</f>
        <v>1732408.9725805859</v>
      </c>
      <c r="AD18" s="8">
        <f>Datos_Origen_USD!AE18/Datos_Origen_USD!$C$29/1000000</f>
        <v>1578775.1124249031</v>
      </c>
      <c r="AE18" s="8">
        <f>Datos_Origen_USD!AF18/Datos_Origen_USD!$C$29/1000000</f>
        <v>1719776.4982612261</v>
      </c>
      <c r="AF18" s="8">
        <f>Datos_Origen_USD!AG18/Datos_Origen_USD!$C$29/1000000</f>
        <v>1802689.9620726095</v>
      </c>
      <c r="AG18" s="8">
        <f>Datos_Origen_USD!AH18/Datos_Origen_USD!$C$29/1000000</f>
        <v>1820278.7150160344</v>
      </c>
      <c r="AH18" s="8">
        <f>Datos_Origen_USD!AI18/Datos_Origen_USD!$C$29/1000000</f>
        <v>1832887.3660723211</v>
      </c>
    </row>
    <row r="19" spans="1:34" ht="15" customHeight="1" x14ac:dyDescent="0.35">
      <c r="A19" s="21" t="s">
        <v>88</v>
      </c>
      <c r="B19" s="11" t="s">
        <v>10</v>
      </c>
      <c r="C19" s="8">
        <f>Datos_Origen_USD!D19/Datos_Origen_USD!$C$29/1000000</f>
        <v>10314.894130168816</v>
      </c>
      <c r="D19" s="8">
        <f>Datos_Origen_USD!E19/Datos_Origen_USD!$C$29/1000000</f>
        <v>10540.781212493197</v>
      </c>
      <c r="E19" s="8">
        <f>Datos_Origen_USD!F19/Datos_Origen_USD!$C$29/1000000</f>
        <v>10441.196061043624</v>
      </c>
      <c r="F19" s="8">
        <f>Datos_Origen_USD!G19/Datos_Origen_USD!$C$29/1000000</f>
        <v>10681.339502351331</v>
      </c>
      <c r="G19" s="8">
        <f>Datos_Origen_USD!H19/Datos_Origen_USD!$C$29/1000000</f>
        <v>11660.976027681569</v>
      </c>
      <c r="H19" s="8">
        <f>Datos_Origen_USD!I19/Datos_Origen_USD!$C$29/1000000</f>
        <v>12424.770266226409</v>
      </c>
      <c r="I19" s="8">
        <f>Datos_Origen_USD!J19/Datos_Origen_USD!$C$29/1000000</f>
        <v>12774.950557910863</v>
      </c>
      <c r="J19" s="8">
        <f>Datos_Origen_USD!K19/Datos_Origen_USD!$C$29/1000000</f>
        <v>13521.138795592609</v>
      </c>
      <c r="K19" s="8">
        <f>Datos_Origen_USD!L19/Datos_Origen_USD!$C$29/1000000</f>
        <v>14394.682550108429</v>
      </c>
      <c r="L19" s="8">
        <f>Datos_Origen_USD!M19/Datos_Origen_USD!$C$29/1000000</f>
        <v>15498.105182801713</v>
      </c>
      <c r="M19" s="8">
        <f>Datos_Origen_USD!N19/Datos_Origen_USD!$C$29/1000000</f>
        <v>16804.461014589728</v>
      </c>
      <c r="N19" s="8">
        <f>Datos_Origen_USD!O19/Datos_Origen_USD!$C$29/1000000</f>
        <v>18270.674338613429</v>
      </c>
      <c r="O19" s="8">
        <f>Datos_Origen_USD!P19/Datos_Origen_USD!$C$29/1000000</f>
        <v>20392.871237431547</v>
      </c>
      <c r="P19" s="8">
        <f>Datos_Origen_USD!Q19/Datos_Origen_USD!$C$29/1000000</f>
        <v>23008.260613128528</v>
      </c>
      <c r="Q19" s="8">
        <f>Datos_Origen_USD!R19/Datos_Origen_USD!$C$29/1000000</f>
        <v>25404.464491994775</v>
      </c>
      <c r="R19" s="8">
        <f>Datos_Origen_USD!S19/Datos_Origen_USD!$C$29/1000000</f>
        <v>24543.579171751873</v>
      </c>
      <c r="S19" s="8">
        <f>Datos_Origen_USD!T19/Datos_Origen_USD!$C$29/1000000</f>
        <v>20606.784278921768</v>
      </c>
      <c r="T19" s="8">
        <f>Datos_Origen_USD!U19/Datos_Origen_USD!$C$29/1000000</f>
        <v>19852.316618243804</v>
      </c>
      <c r="U19" s="8">
        <f>Datos_Origen_USD!V19/Datos_Origen_USD!$C$29/1000000</f>
        <v>20455.10140685958</v>
      </c>
      <c r="V19" s="8">
        <f>Datos_Origen_USD!W19/Datos_Origen_USD!$C$29/1000000</f>
        <v>21949.395773879049</v>
      </c>
      <c r="W19" s="8">
        <f>Datos_Origen_USD!X19/Datos_Origen_USD!$C$29/1000000</f>
        <v>22409.474925557006</v>
      </c>
      <c r="X19" s="8">
        <f>Datos_Origen_USD!Y19/Datos_Origen_USD!$C$29/1000000</f>
        <v>22878.944410152322</v>
      </c>
      <c r="Y19" s="8">
        <f>Datos_Origen_USD!Z19/Datos_Origen_USD!$C$29/1000000</f>
        <v>23744.538870563498</v>
      </c>
      <c r="Z19" s="8">
        <f>Datos_Origen_USD!AA19/Datos_Origen_USD!$C$29/1000000</f>
        <v>24350.424949375483</v>
      </c>
      <c r="AA19" s="8">
        <f>Datos_Origen_USD!AB19/Datos_Origen_USD!$C$29/1000000</f>
        <v>25178.083408026141</v>
      </c>
      <c r="AB19" s="8">
        <f>Datos_Origen_USD!AC19/Datos_Origen_USD!$C$29/1000000</f>
        <v>26263.186507304916</v>
      </c>
      <c r="AC19" s="8">
        <f>Datos_Origen_USD!AD19/Datos_Origen_USD!$C$29/1000000</f>
        <v>26440.560918004423</v>
      </c>
      <c r="AD19" s="8">
        <f>Datos_Origen_USD!AE19/Datos_Origen_USD!$C$29/1000000</f>
        <v>25523.277705418928</v>
      </c>
      <c r="AE19" s="8">
        <f>Datos_Origen_USD!AF19/Datos_Origen_USD!$C$29/1000000</f>
        <v>27295.241911141144</v>
      </c>
      <c r="AF19" s="8">
        <f>Datos_Origen_USD!AG19/Datos_Origen_USD!$C$29/1000000</f>
        <v>27816.180935339886</v>
      </c>
      <c r="AG19" s="8">
        <f>Datos_Origen_USD!AH19/Datos_Origen_USD!$C$29/1000000</f>
        <v>27554.262087537725</v>
      </c>
      <c r="AH19" s="8">
        <f>Datos_Origen_USD!AI19/Datos_Origen_USD!$C$29/1000000</f>
        <v>27541.557365351331</v>
      </c>
    </row>
    <row r="20" spans="1:34" ht="15" customHeight="1" x14ac:dyDescent="0.35">
      <c r="A20" s="21" t="s">
        <v>90</v>
      </c>
      <c r="B20" s="11" t="s">
        <v>10</v>
      </c>
      <c r="C20" s="8">
        <f>Datos_Origen_USD!D20/Datos_Origen_USD!$C$29/1000000</f>
        <v>17281.039592202618</v>
      </c>
      <c r="D20" s="8">
        <f>Datos_Origen_USD!E20/Datos_Origen_USD!$C$29/1000000</f>
        <v>15593.364273089408</v>
      </c>
      <c r="E20" s="8">
        <f>Datos_Origen_USD!F20/Datos_Origen_USD!$C$29/1000000</f>
        <v>16106.398461063725</v>
      </c>
      <c r="F20" s="8">
        <f>Datos_Origen_USD!G20/Datos_Origen_USD!$C$29/1000000</f>
        <v>16916.05805482767</v>
      </c>
      <c r="G20" s="8">
        <f>Datos_Origen_USD!H20/Datos_Origen_USD!$C$29/1000000</f>
        <v>18320.197507723482</v>
      </c>
      <c r="H20" s="8">
        <f>Datos_Origen_USD!I20/Datos_Origen_USD!$C$29/1000000</f>
        <v>19687.422333365754</v>
      </c>
      <c r="I20" s="8">
        <f>Datos_Origen_USD!J20/Datos_Origen_USD!$C$29/1000000</f>
        <v>19471.449699896264</v>
      </c>
      <c r="J20" s="8">
        <f>Datos_Origen_USD!K20/Datos_Origen_USD!$C$29/1000000</f>
        <v>20137.104975851737</v>
      </c>
      <c r="K20" s="8">
        <f>Datos_Origen_USD!L20/Datos_Origen_USD!$C$29/1000000</f>
        <v>21442.820366507796</v>
      </c>
      <c r="L20" s="8">
        <f>Datos_Origen_USD!M20/Datos_Origen_USD!$C$29/1000000</f>
        <v>22883.743468911223</v>
      </c>
      <c r="M20" s="8">
        <f>Datos_Origen_USD!N20/Datos_Origen_USD!$C$29/1000000</f>
        <v>25298.412272180805</v>
      </c>
      <c r="N20" s="8">
        <f>Datos_Origen_USD!O20/Datos_Origen_USD!$C$29/1000000</f>
        <v>26943.323983827762</v>
      </c>
      <c r="O20" s="8">
        <f>Datos_Origen_USD!P20/Datos_Origen_USD!$C$29/1000000</f>
        <v>29026.432732405228</v>
      </c>
      <c r="P20" s="8">
        <f>Datos_Origen_USD!Q20/Datos_Origen_USD!$C$29/1000000</f>
        <v>31173.077115326454</v>
      </c>
      <c r="Q20" s="8">
        <f>Datos_Origen_USD!R20/Datos_Origen_USD!$C$29/1000000</f>
        <v>34626.40823393195</v>
      </c>
      <c r="R20" s="8">
        <f>Datos_Origen_USD!S20/Datos_Origen_USD!$C$29/1000000</f>
        <v>35526.50840075341</v>
      </c>
      <c r="S20" s="8">
        <f>Datos_Origen_USD!T20/Datos_Origen_USD!$C$29/1000000</f>
        <v>30254.86773680694</v>
      </c>
      <c r="T20" s="8">
        <f>Datos_Origen_USD!U20/Datos_Origen_USD!$C$29/1000000</f>
        <v>30384.116400639028</v>
      </c>
      <c r="U20" s="8">
        <f>Datos_Origen_USD!V20/Datos_Origen_USD!$C$29/1000000</f>
        <v>32305.497520585577</v>
      </c>
      <c r="V20" s="8">
        <f>Datos_Origen_USD!W20/Datos_Origen_USD!$C$29/1000000</f>
        <v>33721.417059203697</v>
      </c>
      <c r="W20" s="8">
        <f>Datos_Origen_USD!X20/Datos_Origen_USD!$C$29/1000000</f>
        <v>35086.0935325955</v>
      </c>
      <c r="X20" s="8">
        <f>Datos_Origen_USD!Y20/Datos_Origen_USD!$C$29/1000000</f>
        <v>36409.731777351415</v>
      </c>
      <c r="Y20" s="8">
        <f>Datos_Origen_USD!Z20/Datos_Origen_USD!$C$29/1000000</f>
        <v>37441.149001535741</v>
      </c>
      <c r="Z20" s="8">
        <f>Datos_Origen_USD!AA20/Datos_Origen_USD!$C$29/1000000</f>
        <v>38441.547355121947</v>
      </c>
      <c r="AA20" s="8">
        <f>Datos_Origen_USD!AB20/Datos_Origen_USD!$C$29/1000000</f>
        <v>40214.564971744301</v>
      </c>
      <c r="AB20" s="8">
        <f>Datos_Origen_USD!AC20/Datos_Origen_USD!$C$29/1000000</f>
        <v>42192.465186654168</v>
      </c>
      <c r="AC20" s="8">
        <f>Datos_Origen_USD!AD20/Datos_Origen_USD!$C$29/1000000</f>
        <v>44165.955231422355</v>
      </c>
      <c r="AD20" s="8">
        <f>Datos_Origen_USD!AE20/Datos_Origen_USD!$C$29/1000000</f>
        <v>44184.865253365395</v>
      </c>
      <c r="AE20" s="8">
        <f>Datos_Origen_USD!AF20/Datos_Origen_USD!$C$29/1000000</f>
        <v>47003.866753414244</v>
      </c>
      <c r="AF20" s="8">
        <f>Datos_Origen_USD!AG20/Datos_Origen_USD!$C$29/1000000</f>
        <v>48196.601971131684</v>
      </c>
      <c r="AG20" s="8">
        <f>Datos_Origen_USD!AH20/Datos_Origen_USD!$C$29/1000000</f>
        <v>48361.560970191356</v>
      </c>
      <c r="AH20" s="8">
        <f>Datos_Origen_USD!AI20/Datos_Origen_USD!$C$29/1000000</f>
        <v>49702.448720367101</v>
      </c>
    </row>
    <row r="21" spans="1:34" ht="15" customHeight="1" x14ac:dyDescent="0.35">
      <c r="A21" s="21" t="s">
        <v>92</v>
      </c>
      <c r="B21" s="11" t="s">
        <v>10</v>
      </c>
      <c r="C21" s="8">
        <f>Datos_Origen_USD!D21/Datos_Origen_USD!$C$29/1000000</f>
        <v>26193.65385133871</v>
      </c>
      <c r="D21" s="8">
        <f>Datos_Origen_USD!E21/Datos_Origen_USD!$C$29/1000000</f>
        <v>27194.49285188031</v>
      </c>
      <c r="E21" s="8">
        <f>Datos_Origen_USD!F21/Datos_Origen_USD!$C$29/1000000</f>
        <v>27583.972432285176</v>
      </c>
      <c r="F21" s="8">
        <f>Datos_Origen_USD!G21/Datos_Origen_USD!$C$29/1000000</f>
        <v>27969.617192180442</v>
      </c>
      <c r="G21" s="8">
        <f>Datos_Origen_USD!H21/Datos_Origen_USD!$C$29/1000000</f>
        <v>29485.52313075088</v>
      </c>
      <c r="H21" s="8">
        <f>Datos_Origen_USD!I21/Datos_Origen_USD!$C$29/1000000</f>
        <v>31453.538177817485</v>
      </c>
      <c r="I21" s="8">
        <f>Datos_Origen_USD!J21/Datos_Origen_USD!$C$29/1000000</f>
        <v>34024.922121801719</v>
      </c>
      <c r="J21" s="8">
        <f>Datos_Origen_USD!K21/Datos_Origen_USD!$C$29/1000000</f>
        <v>36385.615369814332</v>
      </c>
      <c r="K21" s="8">
        <f>Datos_Origen_USD!L21/Datos_Origen_USD!$C$29/1000000</f>
        <v>37504.23854061163</v>
      </c>
      <c r="L21" s="8">
        <f>Datos_Origen_USD!M21/Datos_Origen_USD!$C$29/1000000</f>
        <v>38713.906934884726</v>
      </c>
      <c r="M21" s="8">
        <f>Datos_Origen_USD!N21/Datos_Origen_USD!$C$29/1000000</f>
        <v>39727.97073360478</v>
      </c>
      <c r="N21" s="8">
        <f>Datos_Origen_USD!O21/Datos_Origen_USD!$C$29/1000000</f>
        <v>41409.214471560881</v>
      </c>
      <c r="O21" s="8">
        <f>Datos_Origen_USD!P21/Datos_Origen_USD!$C$29/1000000</f>
        <v>42437.353499029392</v>
      </c>
      <c r="P21" s="8">
        <f>Datos_Origen_USD!Q21/Datos_Origen_USD!$C$29/1000000</f>
        <v>44990.688282975214</v>
      </c>
      <c r="Q21" s="8">
        <f>Datos_Origen_USD!R21/Datos_Origen_USD!$C$29/1000000</f>
        <v>48634.334411716271</v>
      </c>
      <c r="R21" s="8">
        <f>Datos_Origen_USD!S21/Datos_Origen_USD!$C$29/1000000</f>
        <v>48488.345994462099</v>
      </c>
      <c r="S21" s="8">
        <f>Datos_Origen_USD!T21/Datos_Origen_USD!$C$29/1000000</f>
        <v>46917.830727985944</v>
      </c>
      <c r="T21" s="8">
        <f>Datos_Origen_USD!U21/Datos_Origen_USD!$C$29/1000000</f>
        <v>48682.135658035251</v>
      </c>
      <c r="U21" s="8">
        <f>Datos_Origen_USD!V21/Datos_Origen_USD!$C$29/1000000</f>
        <v>49190.522496395133</v>
      </c>
      <c r="V21" s="8">
        <f>Datos_Origen_USD!W21/Datos_Origen_USD!$C$29/1000000</f>
        <v>50002.117973663095</v>
      </c>
      <c r="W21" s="8">
        <f>Datos_Origen_USD!X21/Datos_Origen_USD!$C$29/1000000</f>
        <v>51588.080101181251</v>
      </c>
      <c r="X21" s="8">
        <f>Datos_Origen_USD!Y21/Datos_Origen_USD!$C$29/1000000</f>
        <v>52941.280216328887</v>
      </c>
      <c r="Y21" s="8">
        <f>Datos_Origen_USD!Z21/Datos_Origen_USD!$C$29/1000000</f>
        <v>54142.933047442544</v>
      </c>
      <c r="Z21" s="8">
        <f>Datos_Origen_USD!AA21/Datos_Origen_USD!$C$29/1000000</f>
        <v>56838.271188490311</v>
      </c>
      <c r="AA21" s="8">
        <f>Datos_Origen_USD!AB21/Datos_Origen_USD!$C$29/1000000</f>
        <v>57586.937585786844</v>
      </c>
      <c r="AB21" s="8">
        <f>Datos_Origen_USD!AC21/Datos_Origen_USD!$C$29/1000000</f>
        <v>58514.833384987476</v>
      </c>
      <c r="AC21" s="8">
        <f>Datos_Origen_USD!AD21/Datos_Origen_USD!$C$29/1000000</f>
        <v>60123.592987177384</v>
      </c>
      <c r="AD21" s="8">
        <f>Datos_Origen_USD!AE21/Datos_Origen_USD!$C$29/1000000</f>
        <v>59816.931618702845</v>
      </c>
      <c r="AE21" s="8">
        <f>Datos_Origen_USD!AF21/Datos_Origen_USD!$C$29/1000000</f>
        <v>63962.086021421725</v>
      </c>
      <c r="AF21" s="8">
        <f>Datos_Origen_USD!AG21/Datos_Origen_USD!$C$29/1000000</f>
        <v>63260.155281867148</v>
      </c>
      <c r="AG21" s="8">
        <f>Datos_Origen_USD!AH21/Datos_Origen_USD!$C$29/1000000</f>
        <v>63323.061176708608</v>
      </c>
      <c r="AH21" s="8">
        <f>Datos_Origen_USD!AI21/Datos_Origen_USD!$C$29/1000000</f>
        <v>63550.145614433357</v>
      </c>
    </row>
    <row r="22" spans="1:34" ht="15" customHeight="1" x14ac:dyDescent="0.35">
      <c r="A22" s="21" t="s">
        <v>94</v>
      </c>
      <c r="B22" s="11" t="s">
        <v>10</v>
      </c>
      <c r="C22" s="8">
        <f>Datos_Origen_USD!D22/Datos_Origen_USD!$C$29/1000000</f>
        <v>3735.2338534483915</v>
      </c>
      <c r="D22" s="8">
        <f>Datos_Origen_USD!E22/Datos_Origen_USD!$C$29/1000000</f>
        <v>3946.3158065905727</v>
      </c>
      <c r="E22" s="8">
        <f>Datos_Origen_USD!F22/Datos_Origen_USD!$C$29/1000000</f>
        <v>4196.6105941105998</v>
      </c>
      <c r="F22" s="8">
        <f>Datos_Origen_USD!G22/Datos_Origen_USD!$C$29/1000000</f>
        <v>4355.1306628739703</v>
      </c>
      <c r="G22" s="8">
        <f>Datos_Origen_USD!H22/Datos_Origen_USD!$C$29/1000000</f>
        <v>4584.079050618685</v>
      </c>
      <c r="H22" s="8">
        <f>Datos_Origen_USD!I22/Datos_Origen_USD!$C$29/1000000</f>
        <v>4819.0406509788372</v>
      </c>
      <c r="I22" s="8">
        <f>Datos_Origen_USD!J22/Datos_Origen_USD!$C$29/1000000</f>
        <v>5046.4982108033355</v>
      </c>
      <c r="J22" s="8">
        <f>Datos_Origen_USD!K22/Datos_Origen_USD!$C$29/1000000</f>
        <v>6039.7131117290137</v>
      </c>
      <c r="K22" s="8">
        <f>Datos_Origen_USD!L22/Datos_Origen_USD!$C$29/1000000</f>
        <v>5993.980218059397</v>
      </c>
      <c r="L22" s="8">
        <f>Datos_Origen_USD!M22/Datos_Origen_USD!$C$29/1000000</f>
        <v>6158.2833163901132</v>
      </c>
      <c r="M22" s="8">
        <f>Datos_Origen_USD!N22/Datos_Origen_USD!$C$29/1000000</f>
        <v>6385.727838403749</v>
      </c>
      <c r="N22" s="8">
        <f>Datos_Origen_USD!O22/Datos_Origen_USD!$C$29/1000000</f>
        <v>6411.7403862313568</v>
      </c>
      <c r="O22" s="8">
        <f>Datos_Origen_USD!P22/Datos_Origen_USD!$C$29/1000000</f>
        <v>6596.4777096727448</v>
      </c>
      <c r="P22" s="8">
        <f>Datos_Origen_USD!Q22/Datos_Origen_USD!$C$29/1000000</f>
        <v>6750.5839260169087</v>
      </c>
      <c r="Q22" s="8">
        <f>Datos_Origen_USD!R22/Datos_Origen_USD!$C$29/1000000</f>
        <v>7090.5704483691034</v>
      </c>
      <c r="R22" s="8">
        <f>Datos_Origen_USD!S22/Datos_Origen_USD!$C$29/1000000</f>
        <v>7403.3069078998024</v>
      </c>
      <c r="S22" s="8">
        <f>Datos_Origen_USD!T22/Datos_Origen_USD!$C$29/1000000</f>
        <v>7300.0122879074997</v>
      </c>
      <c r="T22" s="8">
        <f>Datos_Origen_USD!U22/Datos_Origen_USD!$C$29/1000000</f>
        <v>7752.4196294428211</v>
      </c>
      <c r="U22" s="8">
        <f>Datos_Origen_USD!V22/Datos_Origen_USD!$C$29/1000000</f>
        <v>7829.3392852264369</v>
      </c>
      <c r="V22" s="8">
        <f>Datos_Origen_USD!W22/Datos_Origen_USD!$C$29/1000000</f>
        <v>8150.4732529858857</v>
      </c>
      <c r="W22" s="8">
        <f>Datos_Origen_USD!X22/Datos_Origen_USD!$C$29/1000000</f>
        <v>8663.328232974889</v>
      </c>
      <c r="X22" s="8">
        <f>Datos_Origen_USD!Y22/Datos_Origen_USD!$C$29/1000000</f>
        <v>9324.4583110274889</v>
      </c>
      <c r="Y22" s="8">
        <f>Datos_Origen_USD!Z22/Datos_Origen_USD!$C$29/1000000</f>
        <v>10221.536766190267</v>
      </c>
      <c r="Z22" s="8">
        <f>Datos_Origen_USD!AA22/Datos_Origen_USD!$C$29/1000000</f>
        <v>10638.371399332853</v>
      </c>
      <c r="AA22" s="8">
        <f>Datos_Origen_USD!AB22/Datos_Origen_USD!$C$29/1000000</f>
        <v>12018.310989563048</v>
      </c>
      <c r="AB22" s="8">
        <f>Datos_Origen_USD!AC22/Datos_Origen_USD!$C$29/1000000</f>
        <v>12882.333181458494</v>
      </c>
      <c r="AC22" s="8">
        <f>Datos_Origen_USD!AD22/Datos_Origen_USD!$C$29/1000000</f>
        <v>13408.583683012259</v>
      </c>
      <c r="AD22" s="8">
        <f>Datos_Origen_USD!AE22/Datos_Origen_USD!$C$29/1000000</f>
        <v>12945.011030584137</v>
      </c>
      <c r="AE22" s="8">
        <f>Datos_Origen_USD!AF22/Datos_Origen_USD!$C$29/1000000</f>
        <v>14681.157630822985</v>
      </c>
      <c r="AF22" s="8">
        <f>Datos_Origen_USD!AG22/Datos_Origen_USD!$C$29/1000000</f>
        <v>15045.705446907075</v>
      </c>
      <c r="AG22" s="8">
        <f>Datos_Origen_USD!AH22/Datos_Origen_USD!$C$29/1000000</f>
        <v>16643.787834746101</v>
      </c>
      <c r="AH22" s="8">
        <f>Datos_Origen_USD!AI22/Datos_Origen_USD!$C$29/1000000</f>
        <v>17775.549263408117</v>
      </c>
    </row>
    <row r="23" spans="1:34" ht="15" customHeight="1" x14ac:dyDescent="0.35">
      <c r="A23" s="21" t="s">
        <v>96</v>
      </c>
      <c r="B23" s="11" t="s">
        <v>10</v>
      </c>
      <c r="C23" s="8">
        <f>Datos_Origen_USD!D23/Datos_Origen_USD!$C$29/1000000</f>
        <v>445108.56082289049</v>
      </c>
      <c r="D23" s="8">
        <f>Datos_Origen_USD!E23/Datos_Origen_USD!$C$29/1000000</f>
        <v>458288.6369938865</v>
      </c>
      <c r="E23" s="8">
        <f>Datos_Origen_USD!F23/Datos_Origen_USD!$C$29/1000000</f>
        <v>472569.07540162059</v>
      </c>
      <c r="F23" s="8">
        <f>Datos_Origen_USD!G23/Datos_Origen_USD!$C$29/1000000</f>
        <v>488733.66610174137</v>
      </c>
      <c r="G23" s="8">
        <f>Datos_Origen_USD!H23/Datos_Origen_USD!$C$29/1000000</f>
        <v>509497.41592568182</v>
      </c>
      <c r="H23" s="8">
        <f>Datos_Origen_USD!I23/Datos_Origen_USD!$C$29/1000000</f>
        <v>533177.75848590094</v>
      </c>
      <c r="I23" s="8">
        <f>Datos_Origen_USD!J23/Datos_Origen_USD!$C$29/1000000</f>
        <v>560067.62628932949</v>
      </c>
      <c r="J23" s="8">
        <f>Datos_Origen_USD!K23/Datos_Origen_USD!$C$29/1000000</f>
        <v>583701.10109900404</v>
      </c>
      <c r="K23" s="8">
        <f>Datos_Origen_USD!L23/Datos_Origen_USD!$C$29/1000000</f>
        <v>597263.83809260116</v>
      </c>
      <c r="L23" s="8">
        <f>Datos_Origen_USD!M23/Datos_Origen_USD!$C$29/1000000</f>
        <v>598731.82695379644</v>
      </c>
      <c r="M23" s="8">
        <f>Datos_Origen_USD!N23/Datos_Origen_USD!$C$29/1000000</f>
        <v>599317.58045548631</v>
      </c>
      <c r="N23" s="8">
        <f>Datos_Origen_USD!O23/Datos_Origen_USD!$C$29/1000000</f>
        <v>611401.68053523032</v>
      </c>
      <c r="O23" s="8">
        <f>Datos_Origen_USD!P23/Datos_Origen_USD!$C$29/1000000</f>
        <v>623837.36671191617</v>
      </c>
      <c r="P23" s="8">
        <f>Datos_Origen_USD!Q23/Datos_Origen_USD!$C$29/1000000</f>
        <v>645904.83436656604</v>
      </c>
      <c r="Q23" s="8">
        <f>Datos_Origen_USD!R23/Datos_Origen_USD!$C$29/1000000</f>
        <v>671000.21654427133</v>
      </c>
      <c r="R23" s="8">
        <f>Datos_Origen_USD!S23/Datos_Origen_USD!$C$29/1000000</f>
        <v>685204.05606150255</v>
      </c>
      <c r="S23" s="8">
        <f>Datos_Origen_USD!T23/Datos_Origen_USD!$C$29/1000000</f>
        <v>660089.33694764401</v>
      </c>
      <c r="T23" s="8">
        <f>Datos_Origen_USD!U23/Datos_Origen_USD!$C$29/1000000</f>
        <v>668798.0297200965</v>
      </c>
      <c r="U23" s="8">
        <f>Datos_Origen_USD!V23/Datos_Origen_USD!$C$29/1000000</f>
        <v>680658.12722833164</v>
      </c>
      <c r="V23" s="8">
        <f>Datos_Origen_USD!W23/Datos_Origen_USD!$C$29/1000000</f>
        <v>674002.12878565479</v>
      </c>
      <c r="W23" s="8">
        <f>Datos_Origen_USD!X23/Datos_Origen_USD!$C$29/1000000</f>
        <v>673798.3606873051</v>
      </c>
      <c r="X23" s="8">
        <f>Datos_Origen_USD!Y23/Datos_Origen_USD!$C$29/1000000</f>
        <v>684664.10051877529</v>
      </c>
      <c r="Y23" s="8">
        <f>Datos_Origen_USD!Z23/Datos_Origen_USD!$C$29/1000000</f>
        <v>699183.12330124748</v>
      </c>
      <c r="Z23" s="8">
        <f>Datos_Origen_USD!AA23/Datos_Origen_USD!$C$29/1000000</f>
        <v>716133.31998289505</v>
      </c>
      <c r="AA23" s="8">
        <f>Datos_Origen_USD!AB23/Datos_Origen_USD!$C$29/1000000</f>
        <v>736052.89908239571</v>
      </c>
      <c r="AB23" s="8">
        <f>Datos_Origen_USD!AC23/Datos_Origen_USD!$C$29/1000000</f>
        <v>752678.42308482481</v>
      </c>
      <c r="AC23" s="8">
        <f>Datos_Origen_USD!AD23/Datos_Origen_USD!$C$29/1000000</f>
        <v>769990.71611241018</v>
      </c>
      <c r="AD23" s="8">
        <f>Datos_Origen_USD!AE23/Datos_Origen_USD!$C$29/1000000</f>
        <v>740207.83450446243</v>
      </c>
      <c r="AE23" s="8">
        <f>Datos_Origen_USD!AF23/Datos_Origen_USD!$C$29/1000000</f>
        <v>786669.42688854353</v>
      </c>
      <c r="AF23" s="8">
        <f>Datos_Origen_USD!AG23/Datos_Origen_USD!$C$29/1000000</f>
        <v>826059.81023854995</v>
      </c>
      <c r="AG23" s="8">
        <f>Datos_Origen_USD!AH23/Datos_Origen_USD!$C$29/1000000</f>
        <v>821119.17817465262</v>
      </c>
      <c r="AH23" s="8">
        <f>Datos_Origen_USD!AI23/Datos_Origen_USD!$C$29/1000000</f>
        <v>829995.5245135196</v>
      </c>
    </row>
    <row r="24" spans="1:34" ht="15" customHeight="1" x14ac:dyDescent="0.35">
      <c r="A24" s="21" t="s">
        <v>98</v>
      </c>
      <c r="B24" s="11" t="s">
        <v>10</v>
      </c>
      <c r="C24" s="8">
        <f>Datos_Origen_USD!D24/Datos_Origen_USD!$C$29/1000000</f>
        <v>135707.64027861832</v>
      </c>
      <c r="D24" s="8">
        <f>Datos_Origen_USD!E24/Datos_Origen_USD!$C$29/1000000</f>
        <v>137016.9995477882</v>
      </c>
      <c r="E24" s="8">
        <f>Datos_Origen_USD!F24/Datos_Origen_USD!$C$29/1000000</f>
        <v>142885.13643718432</v>
      </c>
      <c r="F24" s="8">
        <f>Datos_Origen_USD!G24/Datos_Origen_USD!$C$29/1000000</f>
        <v>147892.18387350879</v>
      </c>
      <c r="G24" s="8">
        <f>Datos_Origen_USD!H24/Datos_Origen_USD!$C$29/1000000</f>
        <v>154400.72317203967</v>
      </c>
      <c r="H24" s="8">
        <f>Datos_Origen_USD!I24/Datos_Origen_USD!$C$29/1000000</f>
        <v>161824.25310652275</v>
      </c>
      <c r="I24" s="8">
        <f>Datos_Origen_USD!J24/Datos_Origen_USD!$C$29/1000000</f>
        <v>168146.04344729878</v>
      </c>
      <c r="J24" s="8">
        <f>Datos_Origen_USD!K24/Datos_Origen_USD!$C$29/1000000</f>
        <v>174562.79432096891</v>
      </c>
      <c r="K24" s="8">
        <f>Datos_Origen_USD!L24/Datos_Origen_USD!$C$29/1000000</f>
        <v>177955.72271100496</v>
      </c>
      <c r="L24" s="8">
        <f>Datos_Origen_USD!M24/Datos_Origen_USD!$C$29/1000000</f>
        <v>179327.62747703202</v>
      </c>
      <c r="M24" s="8">
        <f>Datos_Origen_USD!N24/Datos_Origen_USD!$C$29/1000000</f>
        <v>177658.94616374673</v>
      </c>
      <c r="N24" s="8">
        <f>Datos_Origen_USD!O24/Datos_Origen_USD!$C$29/1000000</f>
        <v>180836.79485453176</v>
      </c>
      <c r="O24" s="8">
        <f>Datos_Origen_USD!P24/Datos_Origen_USD!$C$29/1000000</f>
        <v>182250.66293918251</v>
      </c>
      <c r="P24" s="8">
        <f>Datos_Origen_USD!Q24/Datos_Origen_USD!$C$29/1000000</f>
        <v>185212.30060030465</v>
      </c>
      <c r="Q24" s="8">
        <f>Datos_Origen_USD!R24/Datos_Origen_USD!$C$29/1000000</f>
        <v>189854.79393176836</v>
      </c>
      <c r="R24" s="8">
        <f>Datos_Origen_USD!S24/Datos_Origen_USD!$C$29/1000000</f>
        <v>190460.90031967644</v>
      </c>
      <c r="S24" s="8">
        <f>Datos_Origen_USD!T24/Datos_Origen_USD!$C$29/1000000</f>
        <v>184514.56192756825</v>
      </c>
      <c r="T24" s="8">
        <f>Datos_Origen_USD!U24/Datos_Origen_USD!$C$29/1000000</f>
        <v>187720.73222885263</v>
      </c>
      <c r="U24" s="8">
        <f>Datos_Origen_USD!V24/Datos_Origen_USD!$C$29/1000000</f>
        <v>184504.08593578098</v>
      </c>
      <c r="V24" s="8">
        <f>Datos_Origen_USD!W24/Datos_Origen_USD!$C$29/1000000</f>
        <v>177030.00498087428</v>
      </c>
      <c r="W24" s="8">
        <f>Datos_Origen_USD!X24/Datos_Origen_USD!$C$29/1000000</f>
        <v>175287.84106364218</v>
      </c>
      <c r="X24" s="8">
        <f>Datos_Origen_USD!Y24/Datos_Origen_USD!$C$29/1000000</f>
        <v>176587.41007883011</v>
      </c>
      <c r="Y24" s="8">
        <f>Datos_Origen_USD!Z24/Datos_Origen_USD!$C$29/1000000</f>
        <v>179394.79325789909</v>
      </c>
      <c r="Z24" s="8">
        <f>Datos_Origen_USD!AA24/Datos_Origen_USD!$C$29/1000000</f>
        <v>182990.11839364941</v>
      </c>
      <c r="AA24" s="8">
        <f>Datos_Origen_USD!AB24/Datos_Origen_USD!$C$29/1000000</f>
        <v>189055.72859567913</v>
      </c>
      <c r="AB24" s="8">
        <f>Datos_Origen_USD!AC24/Datos_Origen_USD!$C$29/1000000</f>
        <v>194625.84620925193</v>
      </c>
      <c r="AC24" s="8">
        <f>Datos_Origen_USD!AD24/Datos_Origen_USD!$C$29/1000000</f>
        <v>199969.65756391076</v>
      </c>
      <c r="AD24" s="8">
        <f>Datos_Origen_USD!AE24/Datos_Origen_USD!$C$29/1000000</f>
        <v>183562.88386252007</v>
      </c>
      <c r="AE24" s="8">
        <f>Datos_Origen_USD!AF24/Datos_Origen_USD!$C$29/1000000</f>
        <v>193766.69800594592</v>
      </c>
      <c r="AF24" s="8">
        <f>Datos_Origen_USD!AG24/Datos_Origen_USD!$C$29/1000000</f>
        <v>207302.93216777197</v>
      </c>
      <c r="AG24" s="8">
        <f>Datos_Origen_USD!AH24/Datos_Origen_USD!$C$29/1000000</f>
        <v>213729.27971830824</v>
      </c>
      <c r="AH24" s="8">
        <f>Datos_Origen_USD!AI24/Datos_Origen_USD!$C$29/1000000</f>
        <v>218302.38478446146</v>
      </c>
    </row>
    <row r="25" spans="1:34" ht="15" customHeight="1" x14ac:dyDescent="0.35">
      <c r="A25" s="21" t="s">
        <v>11</v>
      </c>
      <c r="B25" s="11" t="s">
        <v>11</v>
      </c>
      <c r="C25" s="8">
        <f>Datos_Origen_USD!D25/Datos_Origen_USD!$C$29/1000000</f>
        <v>9325664.0222168546</v>
      </c>
      <c r="D25" s="8">
        <f>Datos_Origen_USD!E25/Datos_Origen_USD!$C$29/1000000</f>
        <v>9701397.1453799028</v>
      </c>
      <c r="E25" s="8">
        <f>Datos_Origen_USD!F25/Datos_Origen_USD!$C$29/1000000</f>
        <v>9961824.4317624159</v>
      </c>
      <c r="F25" s="8">
        <f>Datos_Origen_USD!G25/Datos_Origen_USD!$C$29/1000000</f>
        <v>10337661.423468679</v>
      </c>
      <c r="G25" s="8">
        <f>Datos_Origen_USD!H25/Datos_Origen_USD!$C$29/1000000</f>
        <v>10797390.452526184</v>
      </c>
      <c r="H25" s="8">
        <f>Datos_Origen_USD!I25/Datos_Origen_USD!$C$29/1000000</f>
        <v>11281451.865237584</v>
      </c>
      <c r="I25" s="8">
        <f>Datos_Origen_USD!J25/Datos_Origen_USD!$C$29/1000000</f>
        <v>11821655.732046328</v>
      </c>
      <c r="J25" s="8">
        <f>Datos_Origen_USD!K25/Datos_Origen_USD!$C$29/1000000</f>
        <v>12303693.882397477</v>
      </c>
      <c r="K25" s="8">
        <f>Datos_Origen_USD!L25/Datos_Origen_USD!$C$29/1000000</f>
        <v>12421260.395706354</v>
      </c>
      <c r="L25" s="8">
        <f>Datos_Origen_USD!M25/Datos_Origen_USD!$C$29/1000000</f>
        <v>12632477.386014963</v>
      </c>
      <c r="M25" s="8">
        <f>Datos_Origen_USD!N25/Datos_Origen_USD!$C$29/1000000</f>
        <v>12985631.677118434</v>
      </c>
      <c r="N25" s="8">
        <f>Datos_Origen_USD!O25/Datos_Origen_USD!$C$29/1000000</f>
        <v>13485289.137281481</v>
      </c>
      <c r="O25" s="8">
        <f>Datos_Origen_USD!P25/Datos_Origen_USD!$C$29/1000000</f>
        <v>13955055.918332761</v>
      </c>
      <c r="P25" s="8">
        <f>Datos_Origen_USD!Q25/Datos_Origen_USD!$C$29/1000000</f>
        <v>14343639.981675442</v>
      </c>
      <c r="Q25" s="8">
        <f>Datos_Origen_USD!R25/Datos_Origen_USD!$C$29/1000000</f>
        <v>14631066.201661922</v>
      </c>
      <c r="R25" s="8">
        <f>Datos_Origen_USD!S25/Datos_Origen_USD!$C$29/1000000</f>
        <v>14647685.227388734</v>
      </c>
      <c r="S25" s="8">
        <f>Datos_Origen_USD!T25/Datos_Origen_USD!$C$29/1000000</f>
        <v>14270287.583876342</v>
      </c>
      <c r="T25" s="8">
        <f>Datos_Origen_USD!U25/Datos_Origen_USD!$C$29/1000000</f>
        <v>14654899.315617036</v>
      </c>
      <c r="U25" s="8">
        <f>Datos_Origen_USD!V25/Datos_Origen_USD!$C$29/1000000</f>
        <v>14884161.565490041</v>
      </c>
      <c r="V25" s="8">
        <f>Datos_Origen_USD!W25/Datos_Origen_USD!$C$29/1000000</f>
        <v>15224876.900383508</v>
      </c>
      <c r="W25" s="8">
        <f>Datos_Origen_USD!X25/Datos_Origen_USD!$C$29/1000000</f>
        <v>15547313.925748086</v>
      </c>
      <c r="X25" s="8">
        <f>Datos_Origen_USD!Y25/Datos_Origen_USD!$C$29/1000000</f>
        <v>15939700.115094909</v>
      </c>
      <c r="Y25" s="8">
        <f>Datos_Origen_USD!Z25/Datos_Origen_USD!$C$29/1000000</f>
        <v>16409212.024335288</v>
      </c>
      <c r="Z25" s="8">
        <f>Datos_Origen_USD!AA25/Datos_Origen_USD!$C$29/1000000</f>
        <v>16707769.675020821</v>
      </c>
      <c r="AA25" s="8">
        <f>Datos_Origen_USD!AB25/Datos_Origen_USD!$C$29/1000000</f>
        <v>17118383.548140336</v>
      </c>
      <c r="AB25" s="8">
        <f>Datos_Origen_USD!AC25/Datos_Origen_USD!$C$29/1000000</f>
        <v>17626201.263829023</v>
      </c>
      <c r="AC25" s="8">
        <f>Datos_Origen_USD!AD25/Datos_Origen_USD!$C$29/1000000</f>
        <v>18081631.517528258</v>
      </c>
      <c r="AD25" s="8">
        <f>Datos_Origen_USD!AE25/Datos_Origen_USD!$C$29/1000000</f>
        <v>17690520.558751334</v>
      </c>
      <c r="AE25" s="8">
        <f>Datos_Origen_USD!AF25/Datos_Origen_USD!$C$29/1000000</f>
        <v>18761690.942608833</v>
      </c>
      <c r="AF25" s="8">
        <f>Datos_Origen_USD!AG25/Datos_Origen_USD!$C$29/1000000</f>
        <v>19233055.035439387</v>
      </c>
      <c r="AG25" s="8">
        <f>Datos_Origen_USD!AH25/Datos_Origen_USD!$C$29/1000000</f>
        <v>19788420.271539975</v>
      </c>
      <c r="AH25" s="8">
        <f>Datos_Origen_USD!AI25/Datos_Origen_USD!$C$29/1000000</f>
        <v>20341111.102455433</v>
      </c>
    </row>
    <row r="26" spans="1:34" ht="15" customHeight="1" x14ac:dyDescent="0.35">
      <c r="A26" s="21" t="s">
        <v>101</v>
      </c>
      <c r="B26" s="11" t="s">
        <v>12</v>
      </c>
      <c r="C26" s="8">
        <f>Datos_Origen_USD!D26/Datos_Origen_USD!$C$29/1000000</f>
        <v>1605530.0896759082</v>
      </c>
      <c r="D26" s="8">
        <f>Datos_Origen_USD!E26/Datos_Origen_USD!$C$29/1000000</f>
        <v>1685058.5925903562</v>
      </c>
      <c r="E26" s="8">
        <f>Datos_Origen_USD!F26/Datos_Origen_USD!$C$29/1000000</f>
        <v>1744598.3006286074</v>
      </c>
      <c r="F26" s="8">
        <f>Datos_Origen_USD!G26/Datos_Origen_USD!$C$29/1000000</f>
        <v>1790218.0819398831</v>
      </c>
      <c r="G26" s="8">
        <f>Datos_Origen_USD!H26/Datos_Origen_USD!$C$29/1000000</f>
        <v>1877580.4612445608</v>
      </c>
      <c r="H26" s="8">
        <f>Datos_Origen_USD!I26/Datos_Origen_USD!$C$29/1000000</f>
        <v>1938532.6341809013</v>
      </c>
      <c r="I26" s="8">
        <f>Datos_Origen_USD!J26/Datos_Origen_USD!$C$29/1000000</f>
        <v>1995611.926952231</v>
      </c>
      <c r="J26" s="8">
        <f>Datos_Origen_USD!K26/Datos_Origen_USD!$C$29/1000000</f>
        <v>2085901.0087822264</v>
      </c>
      <c r="K26" s="8">
        <f>Datos_Origen_USD!L26/Datos_Origen_USD!$C$29/1000000</f>
        <v>2135775.3669752865</v>
      </c>
      <c r="L26" s="8">
        <f>Datos_Origen_USD!M26/Datos_Origen_USD!$C$29/1000000</f>
        <v>2172276.3524002614</v>
      </c>
      <c r="M26" s="8">
        <f>Datos_Origen_USD!N26/Datos_Origen_USD!$C$29/1000000</f>
        <v>2242191.4171186667</v>
      </c>
      <c r="N26" s="8">
        <f>Datos_Origen_USD!O26/Datos_Origen_USD!$C$29/1000000</f>
        <v>2294345.2050320148</v>
      </c>
      <c r="O26" s="8">
        <f>Datos_Origen_USD!P26/Datos_Origen_USD!$C$29/1000000</f>
        <v>2358372.4577312572</v>
      </c>
      <c r="P26" s="8">
        <f>Datos_Origen_USD!Q26/Datos_Origen_USD!$C$29/1000000</f>
        <v>2410016.6007137001</v>
      </c>
      <c r="Q26" s="8">
        <f>Datos_Origen_USD!R26/Datos_Origen_USD!$C$29/1000000</f>
        <v>2480652.0504592429</v>
      </c>
      <c r="R26" s="8">
        <f>Datos_Origen_USD!S26/Datos_Origen_USD!$C$29/1000000</f>
        <v>2479426.3187862462</v>
      </c>
      <c r="S26" s="8">
        <f>Datos_Origen_USD!T26/Datos_Origen_USD!$C$29/1000000</f>
        <v>2365684.9127171161</v>
      </c>
      <c r="T26" s="8">
        <f>Datos_Origen_USD!U26/Datos_Origen_USD!$C$29/1000000</f>
        <v>2419162.2754849484</v>
      </c>
      <c r="U26" s="8">
        <f>Datos_Origen_USD!V26/Datos_Origen_USD!$C$29/1000000</f>
        <v>2439759.9360665614</v>
      </c>
      <c r="V26" s="8">
        <f>Datos_Origen_USD!W26/Datos_Origen_USD!$C$29/1000000</f>
        <v>2477045.8197367913</v>
      </c>
      <c r="W26" s="8">
        <f>Datos_Origen_USD!X26/Datos_Origen_USD!$C$29/1000000</f>
        <v>2519613.0994511582</v>
      </c>
      <c r="X26" s="8">
        <f>Datos_Origen_USD!Y26/Datos_Origen_USD!$C$29/1000000</f>
        <v>2599237.2452924559</v>
      </c>
      <c r="Y26" s="8">
        <f>Datos_Origen_USD!Z26/Datos_Origen_USD!$C$29/1000000</f>
        <v>2654871.4648566563</v>
      </c>
      <c r="Z26" s="8">
        <f>Datos_Origen_USD!AA26/Datos_Origen_USD!$C$29/1000000</f>
        <v>2713451.740181433</v>
      </c>
      <c r="AA26" s="8">
        <f>Datos_Origen_USD!AB26/Datos_Origen_USD!$C$29/1000000</f>
        <v>2795485.415533565</v>
      </c>
      <c r="AB26" s="8">
        <f>Datos_Origen_USD!AC26/Datos_Origen_USD!$C$29/1000000</f>
        <v>2838852.6460094908</v>
      </c>
      <c r="AC26" s="8">
        <f>Datos_Origen_USD!AD26/Datos_Origen_USD!$C$29/1000000</f>
        <v>2874517.1233448852</v>
      </c>
      <c r="AD26" s="8">
        <f>Datos_Origen_USD!AE26/Datos_Origen_USD!$C$29/1000000</f>
        <v>2585688.613967923</v>
      </c>
      <c r="AE26" s="8">
        <f>Datos_Origen_USD!AF26/Datos_Origen_USD!$C$29/1000000</f>
        <v>2806586.8842310505</v>
      </c>
      <c r="AF26" s="8">
        <f>Datos_Origen_USD!AG26/Datos_Origen_USD!$C$29/1000000</f>
        <v>2951117.7980506443</v>
      </c>
      <c r="AG26" s="8">
        <f>Datos_Origen_USD!AH26/Datos_Origen_USD!$C$29/1000000</f>
        <v>2959134.510976071</v>
      </c>
      <c r="AH26" s="8">
        <f>Datos_Origen_USD!AI26/Datos_Origen_USD!$C$29/1000000</f>
        <v>2992466.8729586485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baseColWidth="10" defaultColWidth="8.6328125" defaultRowHeight="14.5" x14ac:dyDescent="0.35"/>
  <cols>
    <col min="1" max="1" width="26" customWidth="1"/>
    <col min="2" max="33" width="13" customWidth="1"/>
  </cols>
  <sheetData>
    <row r="1" spans="1:33" ht="17.25" customHeight="1" x14ac:dyDescent="0.4">
      <c r="A1" s="3" t="s">
        <v>108</v>
      </c>
    </row>
    <row r="2" spans="1:33" ht="15" customHeight="1" x14ac:dyDescent="0.35">
      <c r="A2" s="4" t="s">
        <v>109</v>
      </c>
    </row>
    <row r="4" spans="1:33" ht="15" customHeight="1" x14ac:dyDescent="0.35">
      <c r="A4" s="7" t="s">
        <v>3</v>
      </c>
      <c r="B4" s="7" t="s">
        <v>4</v>
      </c>
      <c r="C4" s="7" t="s">
        <v>34</v>
      </c>
      <c r="D4" s="7" t="s">
        <v>35</v>
      </c>
      <c r="E4" s="7" t="s">
        <v>36</v>
      </c>
      <c r="F4" s="7" t="s">
        <v>37</v>
      </c>
      <c r="G4" s="7" t="s">
        <v>38</v>
      </c>
      <c r="H4" s="7" t="s">
        <v>39</v>
      </c>
      <c r="I4" s="7" t="s">
        <v>5</v>
      </c>
      <c r="J4" s="7" t="s">
        <v>40</v>
      </c>
      <c r="K4" s="7" t="s">
        <v>41</v>
      </c>
      <c r="L4" s="7" t="s">
        <v>42</v>
      </c>
      <c r="M4" s="7" t="s">
        <v>43</v>
      </c>
      <c r="N4" s="7" t="s">
        <v>44</v>
      </c>
      <c r="O4" s="7" t="s">
        <v>45</v>
      </c>
      <c r="P4" s="7" t="s">
        <v>46</v>
      </c>
      <c r="Q4" s="7" t="s">
        <v>6</v>
      </c>
      <c r="R4" s="7" t="s">
        <v>7</v>
      </c>
      <c r="S4" s="7" t="s">
        <v>47</v>
      </c>
      <c r="T4" s="7" t="s">
        <v>48</v>
      </c>
      <c r="U4" s="7" t="s">
        <v>49</v>
      </c>
      <c r="V4" s="7" t="s">
        <v>50</v>
      </c>
      <c r="W4" s="7" t="s">
        <v>51</v>
      </c>
      <c r="X4" s="7" t="s">
        <v>52</v>
      </c>
      <c r="Y4" s="7" t="s">
        <v>53</v>
      </c>
      <c r="Z4" s="7" t="s">
        <v>54</v>
      </c>
      <c r="AA4" s="7" t="s">
        <v>55</v>
      </c>
      <c r="AB4" s="7" t="s">
        <v>56</v>
      </c>
      <c r="AC4" s="7" t="s">
        <v>8</v>
      </c>
      <c r="AD4" s="7" t="s">
        <v>57</v>
      </c>
      <c r="AE4" s="7" t="s">
        <v>58</v>
      </c>
      <c r="AF4" s="7" t="s">
        <v>59</v>
      </c>
      <c r="AG4" s="7" t="s">
        <v>9</v>
      </c>
    </row>
    <row r="5" spans="1:33" ht="15" customHeight="1" x14ac:dyDescent="0.35">
      <c r="A5" s="21" t="s">
        <v>10</v>
      </c>
      <c r="B5" s="8">
        <f>SUMIF(Datos_EUR_Paises!$B$5:$B$26,$A5,Datos_EUR_Paises!C$5:C$26)</f>
        <v>7482430.4592251945</v>
      </c>
      <c r="C5" s="8">
        <f>SUMIF(Datos_EUR_Paises!$B$5:$B$26,$A5,Datos_EUR_Paises!D$5:D$26)</f>
        <v>7670633.9140619878</v>
      </c>
      <c r="D5" s="8">
        <f>SUMIF(Datos_EUR_Paises!$B$5:$B$26,$A5,Datos_EUR_Paises!E$5:E$26)</f>
        <v>7860051.6289772158</v>
      </c>
      <c r="E5" s="8">
        <f>SUMIF(Datos_EUR_Paises!$B$5:$B$26,$A5,Datos_EUR_Paises!F$5:F$26)</f>
        <v>7997036.5105953068</v>
      </c>
      <c r="F5" s="8">
        <f>SUMIF(Datos_EUR_Paises!$B$5:$B$26,$A5,Datos_EUR_Paises!G$5:G$26)</f>
        <v>8218063.911974173</v>
      </c>
      <c r="G5" s="8">
        <f>SUMIF(Datos_EUR_Paises!$B$5:$B$26,$A5,Datos_EUR_Paises!H$5:H$26)</f>
        <v>8464643.9836311731</v>
      </c>
      <c r="H5" s="8">
        <f>SUMIF(Datos_EUR_Paises!$B$5:$B$26,$A5,Datos_EUR_Paises!I$5:I$26)</f>
        <v>8719424.9471928198</v>
      </c>
      <c r="I5" s="8">
        <f>SUMIF(Datos_EUR_Paises!$B$5:$B$26,$A5,Datos_EUR_Paises!J$5:J$26)</f>
        <v>9059605.7763579991</v>
      </c>
      <c r="J5" s="8">
        <f>SUMIF(Datos_EUR_Paises!$B$5:$B$26,$A5,Datos_EUR_Paises!K$5:K$26)</f>
        <v>9257567.0909518916</v>
      </c>
      <c r="K5" s="8">
        <f>SUMIF(Datos_EUR_Paises!$B$5:$B$26,$A5,Datos_EUR_Paises!L$5:L$26)</f>
        <v>9345214.6680351906</v>
      </c>
      <c r="L5" s="8">
        <f>SUMIF(Datos_EUR_Paises!$B$5:$B$26,$A5,Datos_EUR_Paises!M$5:M$26)</f>
        <v>9415601.9966625068</v>
      </c>
      <c r="M5" s="8">
        <f>SUMIF(Datos_EUR_Paises!$B$5:$B$26,$A5,Datos_EUR_Paises!N$5:N$26)</f>
        <v>9633278.9100915994</v>
      </c>
      <c r="N5" s="8">
        <f>SUMIF(Datos_EUR_Paises!$B$5:$B$26,$A5,Datos_EUR_Paises!O$5:O$26)</f>
        <v>9803948.5500199702</v>
      </c>
      <c r="O5" s="8">
        <f>SUMIF(Datos_EUR_Paises!$B$5:$B$26,$A5,Datos_EUR_Paises!P$5:P$26)</f>
        <v>10129887.815853016</v>
      </c>
      <c r="P5" s="8">
        <f>SUMIF(Datos_EUR_Paises!$B$5:$B$26,$A5,Datos_EUR_Paises!Q$5:Q$26)</f>
        <v>10434915.805179674</v>
      </c>
      <c r="Q5" s="8">
        <f>SUMIF(Datos_EUR_Paises!$B$5:$B$26,$A5,Datos_EUR_Paises!R$5:R$26)</f>
        <v>10477754.395092759</v>
      </c>
      <c r="R5" s="8">
        <f>SUMIF(Datos_EUR_Paises!$B$5:$B$26,$A5,Datos_EUR_Paises!S$5:S$26)</f>
        <v>10008061.154999103</v>
      </c>
      <c r="S5" s="8">
        <f>SUMIF(Datos_EUR_Paises!$B$5:$B$26,$A5,Datos_EUR_Paises!T$5:T$26)</f>
        <v>10220055.038102012</v>
      </c>
      <c r="T5" s="8">
        <f>SUMIF(Datos_EUR_Paises!$B$5:$B$26,$A5,Datos_EUR_Paises!U$5:U$26)</f>
        <v>10401721.087902013</v>
      </c>
      <c r="U5" s="8">
        <f>SUMIF(Datos_EUR_Paises!$B$5:$B$26,$A5,Datos_EUR_Paises!V$5:V$26)</f>
        <v>10305936.136569526</v>
      </c>
      <c r="V5" s="8">
        <f>SUMIF(Datos_EUR_Paises!$B$5:$B$26,$A5,Datos_EUR_Paises!W$5:W$26)</f>
        <v>10288753.576870605</v>
      </c>
      <c r="W5" s="8">
        <f>SUMIF(Datos_EUR_Paises!$B$5:$B$26,$A5,Datos_EUR_Paises!X$5:X$26)</f>
        <v>10438545.015565898</v>
      </c>
      <c r="X5" s="8">
        <f>SUMIF(Datos_EUR_Paises!$B$5:$B$26,$A5,Datos_EUR_Paises!Y$5:Y$26)</f>
        <v>10662311.269297933</v>
      </c>
      <c r="Y5" s="8">
        <f>SUMIF(Datos_EUR_Paises!$B$5:$B$26,$A5,Datos_EUR_Paises!Z$5:Z$26)</f>
        <v>10854401.456907991</v>
      </c>
      <c r="Z5" s="8">
        <f>SUMIF(Datos_EUR_Paises!$B$5:$B$26,$A5,Datos_EUR_Paises!AA$5:AA$26)</f>
        <v>11139071.801348874</v>
      </c>
      <c r="AA5" s="8">
        <f>SUMIF(Datos_EUR_Paises!$B$5:$B$26,$A5,Datos_EUR_Paises!AB$5:AB$26)</f>
        <v>11337337.400036369</v>
      </c>
      <c r="AB5" s="8">
        <f>SUMIF(Datos_EUR_Paises!$B$5:$B$26,$A5,Datos_EUR_Paises!AC$5:AC$26)</f>
        <v>11521300.643134752</v>
      </c>
      <c r="AC5" s="8">
        <f>SUMIF(Datos_EUR_Paises!$B$5:$B$26,$A5,Datos_EUR_Paises!AD$5:AD$26)</f>
        <v>10823484.928846417</v>
      </c>
      <c r="AD5" s="8">
        <f>SUMIF(Datos_EUR_Paises!$B$5:$B$26,$A5,Datos_EUR_Paises!AE$5:AE$26)</f>
        <v>11520207.541946007</v>
      </c>
      <c r="AE5" s="8">
        <f>SUMIF(Datos_EUR_Paises!$B$5:$B$26,$A5,Datos_EUR_Paises!AF$5:AF$26)</f>
        <v>11941757.193197718</v>
      </c>
      <c r="AF5" s="8">
        <f>SUMIF(Datos_EUR_Paises!$B$5:$B$26,$A5,Datos_EUR_Paises!AG$5:AG$26)</f>
        <v>11998290.131201208</v>
      </c>
      <c r="AG5" s="8">
        <f>SUMIF(Datos_EUR_Paises!$B$5:$B$26,$A5,Datos_EUR_Paises!AH$5:AH$26)</f>
        <v>12107703.757614478</v>
      </c>
    </row>
    <row r="6" spans="1:33" ht="15" customHeight="1" x14ac:dyDescent="0.35">
      <c r="A6" s="21" t="s">
        <v>11</v>
      </c>
      <c r="B6" s="8">
        <f>SUMIF(Datos_EUR_Paises!$B$5:$B$26,$A6,Datos_EUR_Paises!C$5:C$26)</f>
        <v>9325664.0222168546</v>
      </c>
      <c r="C6" s="8">
        <f>SUMIF(Datos_EUR_Paises!$B$5:$B$26,$A6,Datos_EUR_Paises!D$5:D$26)</f>
        <v>9701397.1453799028</v>
      </c>
      <c r="D6" s="8">
        <f>SUMIF(Datos_EUR_Paises!$B$5:$B$26,$A6,Datos_EUR_Paises!E$5:E$26)</f>
        <v>9961824.4317624159</v>
      </c>
      <c r="E6" s="8">
        <f>SUMIF(Datos_EUR_Paises!$B$5:$B$26,$A6,Datos_EUR_Paises!F$5:F$26)</f>
        <v>10337661.423468679</v>
      </c>
      <c r="F6" s="8">
        <f>SUMIF(Datos_EUR_Paises!$B$5:$B$26,$A6,Datos_EUR_Paises!G$5:G$26)</f>
        <v>10797390.452526184</v>
      </c>
      <c r="G6" s="8">
        <f>SUMIF(Datos_EUR_Paises!$B$5:$B$26,$A6,Datos_EUR_Paises!H$5:H$26)</f>
        <v>11281451.865237584</v>
      </c>
      <c r="H6" s="8">
        <f>SUMIF(Datos_EUR_Paises!$B$5:$B$26,$A6,Datos_EUR_Paises!I$5:I$26)</f>
        <v>11821655.732046328</v>
      </c>
      <c r="I6" s="8">
        <f>SUMIF(Datos_EUR_Paises!$B$5:$B$26,$A6,Datos_EUR_Paises!J$5:J$26)</f>
        <v>12303693.882397477</v>
      </c>
      <c r="J6" s="8">
        <f>SUMIF(Datos_EUR_Paises!$B$5:$B$26,$A6,Datos_EUR_Paises!K$5:K$26)</f>
        <v>12421260.395706354</v>
      </c>
      <c r="K6" s="8">
        <f>SUMIF(Datos_EUR_Paises!$B$5:$B$26,$A6,Datos_EUR_Paises!L$5:L$26)</f>
        <v>12632477.386014963</v>
      </c>
      <c r="L6" s="8">
        <f>SUMIF(Datos_EUR_Paises!$B$5:$B$26,$A6,Datos_EUR_Paises!M$5:M$26)</f>
        <v>12985631.677118434</v>
      </c>
      <c r="M6" s="8">
        <f>SUMIF(Datos_EUR_Paises!$B$5:$B$26,$A6,Datos_EUR_Paises!N$5:N$26)</f>
        <v>13485289.137281481</v>
      </c>
      <c r="N6" s="8">
        <f>SUMIF(Datos_EUR_Paises!$B$5:$B$26,$A6,Datos_EUR_Paises!O$5:O$26)</f>
        <v>13955055.918332761</v>
      </c>
      <c r="O6" s="8">
        <f>SUMIF(Datos_EUR_Paises!$B$5:$B$26,$A6,Datos_EUR_Paises!P$5:P$26)</f>
        <v>14343639.981675442</v>
      </c>
      <c r="P6" s="8">
        <f>SUMIF(Datos_EUR_Paises!$B$5:$B$26,$A6,Datos_EUR_Paises!Q$5:Q$26)</f>
        <v>14631066.201661922</v>
      </c>
      <c r="Q6" s="8">
        <f>SUMIF(Datos_EUR_Paises!$B$5:$B$26,$A6,Datos_EUR_Paises!R$5:R$26)</f>
        <v>14647685.227388734</v>
      </c>
      <c r="R6" s="8">
        <f>SUMIF(Datos_EUR_Paises!$B$5:$B$26,$A6,Datos_EUR_Paises!S$5:S$26)</f>
        <v>14270287.583876342</v>
      </c>
      <c r="S6" s="8">
        <f>SUMIF(Datos_EUR_Paises!$B$5:$B$26,$A6,Datos_EUR_Paises!T$5:T$26)</f>
        <v>14654899.315617036</v>
      </c>
      <c r="T6" s="8">
        <f>SUMIF(Datos_EUR_Paises!$B$5:$B$26,$A6,Datos_EUR_Paises!U$5:U$26)</f>
        <v>14884161.565490041</v>
      </c>
      <c r="U6" s="8">
        <f>SUMIF(Datos_EUR_Paises!$B$5:$B$26,$A6,Datos_EUR_Paises!V$5:V$26)</f>
        <v>15224876.900383508</v>
      </c>
      <c r="V6" s="8">
        <f>SUMIF(Datos_EUR_Paises!$B$5:$B$26,$A6,Datos_EUR_Paises!W$5:W$26)</f>
        <v>15547313.925748086</v>
      </c>
      <c r="W6" s="8">
        <f>SUMIF(Datos_EUR_Paises!$B$5:$B$26,$A6,Datos_EUR_Paises!X$5:X$26)</f>
        <v>15939700.115094909</v>
      </c>
      <c r="X6" s="8">
        <f>SUMIF(Datos_EUR_Paises!$B$5:$B$26,$A6,Datos_EUR_Paises!Y$5:Y$26)</f>
        <v>16409212.024335288</v>
      </c>
      <c r="Y6" s="8">
        <f>SUMIF(Datos_EUR_Paises!$B$5:$B$26,$A6,Datos_EUR_Paises!Z$5:Z$26)</f>
        <v>16707769.675020821</v>
      </c>
      <c r="Z6" s="8">
        <f>SUMIF(Datos_EUR_Paises!$B$5:$B$26,$A6,Datos_EUR_Paises!AA$5:AA$26)</f>
        <v>17118383.548140336</v>
      </c>
      <c r="AA6" s="8">
        <f>SUMIF(Datos_EUR_Paises!$B$5:$B$26,$A6,Datos_EUR_Paises!AB$5:AB$26)</f>
        <v>17626201.263829023</v>
      </c>
      <c r="AB6" s="8">
        <f>SUMIF(Datos_EUR_Paises!$B$5:$B$26,$A6,Datos_EUR_Paises!AC$5:AC$26)</f>
        <v>18081631.517528258</v>
      </c>
      <c r="AC6" s="8">
        <f>SUMIF(Datos_EUR_Paises!$B$5:$B$26,$A6,Datos_EUR_Paises!AD$5:AD$26)</f>
        <v>17690520.558751334</v>
      </c>
      <c r="AD6" s="8">
        <f>SUMIF(Datos_EUR_Paises!$B$5:$B$26,$A6,Datos_EUR_Paises!AE$5:AE$26)</f>
        <v>18761690.942608833</v>
      </c>
      <c r="AE6" s="8">
        <f>SUMIF(Datos_EUR_Paises!$B$5:$B$26,$A6,Datos_EUR_Paises!AF$5:AF$26)</f>
        <v>19233055.035439387</v>
      </c>
      <c r="AF6" s="8">
        <f>SUMIF(Datos_EUR_Paises!$B$5:$B$26,$A6,Datos_EUR_Paises!AG$5:AG$26)</f>
        <v>19788420.271539975</v>
      </c>
      <c r="AG6" s="8">
        <f>SUMIF(Datos_EUR_Paises!$B$5:$B$26,$A6,Datos_EUR_Paises!AH$5:AH$26)</f>
        <v>20341111.102455433</v>
      </c>
    </row>
    <row r="7" spans="1:33" ht="15" customHeight="1" x14ac:dyDescent="0.35">
      <c r="A7" s="21" t="s">
        <v>12</v>
      </c>
      <c r="B7" s="8">
        <f>SUMIF(Datos_EUR_Paises!$B$5:$B$26,$A7,Datos_EUR_Paises!C$5:C$26)</f>
        <v>1605530.0896759082</v>
      </c>
      <c r="C7" s="8">
        <f>SUMIF(Datos_EUR_Paises!$B$5:$B$26,$A7,Datos_EUR_Paises!D$5:D$26)</f>
        <v>1685058.5925903562</v>
      </c>
      <c r="D7" s="8">
        <f>SUMIF(Datos_EUR_Paises!$B$5:$B$26,$A7,Datos_EUR_Paises!E$5:E$26)</f>
        <v>1744598.3006286074</v>
      </c>
      <c r="E7" s="8">
        <f>SUMIF(Datos_EUR_Paises!$B$5:$B$26,$A7,Datos_EUR_Paises!F$5:F$26)</f>
        <v>1790218.0819398831</v>
      </c>
      <c r="F7" s="8">
        <f>SUMIF(Datos_EUR_Paises!$B$5:$B$26,$A7,Datos_EUR_Paises!G$5:G$26)</f>
        <v>1877580.4612445608</v>
      </c>
      <c r="G7" s="8">
        <f>SUMIF(Datos_EUR_Paises!$B$5:$B$26,$A7,Datos_EUR_Paises!H$5:H$26)</f>
        <v>1938532.6341809013</v>
      </c>
      <c r="H7" s="8">
        <f>SUMIF(Datos_EUR_Paises!$B$5:$B$26,$A7,Datos_EUR_Paises!I$5:I$26)</f>
        <v>1995611.926952231</v>
      </c>
      <c r="I7" s="8">
        <f>SUMIF(Datos_EUR_Paises!$B$5:$B$26,$A7,Datos_EUR_Paises!J$5:J$26)</f>
        <v>2085901.0087822264</v>
      </c>
      <c r="J7" s="8">
        <f>SUMIF(Datos_EUR_Paises!$B$5:$B$26,$A7,Datos_EUR_Paises!K$5:K$26)</f>
        <v>2135775.3669752865</v>
      </c>
      <c r="K7" s="8">
        <f>SUMIF(Datos_EUR_Paises!$B$5:$B$26,$A7,Datos_EUR_Paises!L$5:L$26)</f>
        <v>2172276.3524002614</v>
      </c>
      <c r="L7" s="8">
        <f>SUMIF(Datos_EUR_Paises!$B$5:$B$26,$A7,Datos_EUR_Paises!M$5:M$26)</f>
        <v>2242191.4171186667</v>
      </c>
      <c r="M7" s="8">
        <f>SUMIF(Datos_EUR_Paises!$B$5:$B$26,$A7,Datos_EUR_Paises!N$5:N$26)</f>
        <v>2294345.2050320148</v>
      </c>
      <c r="N7" s="8">
        <f>SUMIF(Datos_EUR_Paises!$B$5:$B$26,$A7,Datos_EUR_Paises!O$5:O$26)</f>
        <v>2358372.4577312572</v>
      </c>
      <c r="O7" s="8">
        <f>SUMIF(Datos_EUR_Paises!$B$5:$B$26,$A7,Datos_EUR_Paises!P$5:P$26)</f>
        <v>2410016.6007137001</v>
      </c>
      <c r="P7" s="8">
        <f>SUMIF(Datos_EUR_Paises!$B$5:$B$26,$A7,Datos_EUR_Paises!Q$5:Q$26)</f>
        <v>2480652.0504592429</v>
      </c>
      <c r="Q7" s="8">
        <f>SUMIF(Datos_EUR_Paises!$B$5:$B$26,$A7,Datos_EUR_Paises!R$5:R$26)</f>
        <v>2479426.3187862462</v>
      </c>
      <c r="R7" s="8">
        <f>SUMIF(Datos_EUR_Paises!$B$5:$B$26,$A7,Datos_EUR_Paises!S$5:S$26)</f>
        <v>2365684.9127171161</v>
      </c>
      <c r="S7" s="8">
        <f>SUMIF(Datos_EUR_Paises!$B$5:$B$26,$A7,Datos_EUR_Paises!T$5:T$26)</f>
        <v>2419162.2754849484</v>
      </c>
      <c r="T7" s="8">
        <f>SUMIF(Datos_EUR_Paises!$B$5:$B$26,$A7,Datos_EUR_Paises!U$5:U$26)</f>
        <v>2439759.9360665614</v>
      </c>
      <c r="U7" s="8">
        <f>SUMIF(Datos_EUR_Paises!$B$5:$B$26,$A7,Datos_EUR_Paises!V$5:V$26)</f>
        <v>2477045.8197367913</v>
      </c>
      <c r="V7" s="8">
        <f>SUMIF(Datos_EUR_Paises!$B$5:$B$26,$A7,Datos_EUR_Paises!W$5:W$26)</f>
        <v>2519613.0994511582</v>
      </c>
      <c r="W7" s="8">
        <f>SUMIF(Datos_EUR_Paises!$B$5:$B$26,$A7,Datos_EUR_Paises!X$5:X$26)</f>
        <v>2599237.2452924559</v>
      </c>
      <c r="X7" s="8">
        <f>SUMIF(Datos_EUR_Paises!$B$5:$B$26,$A7,Datos_EUR_Paises!Y$5:Y$26)</f>
        <v>2654871.4648566563</v>
      </c>
      <c r="Y7" s="8">
        <f>SUMIF(Datos_EUR_Paises!$B$5:$B$26,$A7,Datos_EUR_Paises!Z$5:Z$26)</f>
        <v>2713451.740181433</v>
      </c>
      <c r="Z7" s="8">
        <f>SUMIF(Datos_EUR_Paises!$B$5:$B$26,$A7,Datos_EUR_Paises!AA$5:AA$26)</f>
        <v>2795485.415533565</v>
      </c>
      <c r="AA7" s="8">
        <f>SUMIF(Datos_EUR_Paises!$B$5:$B$26,$A7,Datos_EUR_Paises!AB$5:AB$26)</f>
        <v>2838852.6460094908</v>
      </c>
      <c r="AB7" s="8">
        <f>SUMIF(Datos_EUR_Paises!$B$5:$B$26,$A7,Datos_EUR_Paises!AC$5:AC$26)</f>
        <v>2874517.1233448852</v>
      </c>
      <c r="AC7" s="8">
        <f>SUMIF(Datos_EUR_Paises!$B$5:$B$26,$A7,Datos_EUR_Paises!AD$5:AD$26)</f>
        <v>2585688.613967923</v>
      </c>
      <c r="AD7" s="8">
        <f>SUMIF(Datos_EUR_Paises!$B$5:$B$26,$A7,Datos_EUR_Paises!AE$5:AE$26)</f>
        <v>2806586.8842310505</v>
      </c>
      <c r="AE7" s="8">
        <f>SUMIF(Datos_EUR_Paises!$B$5:$B$26,$A7,Datos_EUR_Paises!AF$5:AF$26)</f>
        <v>2951117.7980506443</v>
      </c>
      <c r="AF7" s="8">
        <f>SUMIF(Datos_EUR_Paises!$B$5:$B$26,$A7,Datos_EUR_Paises!AG$5:AG$26)</f>
        <v>2959134.510976071</v>
      </c>
      <c r="AG7" s="8">
        <f>SUMIF(Datos_EUR_Paises!$B$5:$B$26,$A7,Datos_EUR_Paises!AH$5:AH$26)</f>
        <v>2992466.8729586485</v>
      </c>
    </row>
    <row r="8" spans="1:33" ht="15" customHeight="1" x14ac:dyDescent="0.35">
      <c r="A8" s="21" t="s">
        <v>110</v>
      </c>
      <c r="B8" s="22">
        <f t="shared" ref="B8:AG8" si="0">SUM(B5:B7)</f>
        <v>18413624.571117956</v>
      </c>
      <c r="C8" s="22">
        <f t="shared" si="0"/>
        <v>19057089.652032249</v>
      </c>
      <c r="D8" s="22">
        <f t="shared" si="0"/>
        <v>19566474.361368239</v>
      </c>
      <c r="E8" s="22">
        <f t="shared" si="0"/>
        <v>20124916.016003869</v>
      </c>
      <c r="F8" s="22">
        <f t="shared" si="0"/>
        <v>20893034.825744919</v>
      </c>
      <c r="G8" s="22">
        <f t="shared" si="0"/>
        <v>21684628.483049657</v>
      </c>
      <c r="H8" s="22">
        <f t="shared" si="0"/>
        <v>22536692.606191378</v>
      </c>
      <c r="I8" s="22">
        <f t="shared" si="0"/>
        <v>23449200.6675377</v>
      </c>
      <c r="J8" s="22">
        <f t="shared" si="0"/>
        <v>23814602.85363353</v>
      </c>
      <c r="K8" s="22">
        <f t="shared" si="0"/>
        <v>24149968.406450417</v>
      </c>
      <c r="L8" s="22">
        <f t="shared" si="0"/>
        <v>24643425.090899609</v>
      </c>
      <c r="M8" s="22">
        <f t="shared" si="0"/>
        <v>25412913.252405092</v>
      </c>
      <c r="N8" s="22">
        <f t="shared" si="0"/>
        <v>26117376.926083989</v>
      </c>
      <c r="O8" s="22">
        <f t="shared" si="0"/>
        <v>26883544.398242161</v>
      </c>
      <c r="P8" s="22">
        <f t="shared" si="0"/>
        <v>27546634.05730084</v>
      </c>
      <c r="Q8" s="22">
        <f t="shared" si="0"/>
        <v>27604865.94126774</v>
      </c>
      <c r="R8" s="22">
        <f t="shared" si="0"/>
        <v>26644033.65159256</v>
      </c>
      <c r="S8" s="22">
        <f t="shared" si="0"/>
        <v>27294116.629203998</v>
      </c>
      <c r="T8" s="22">
        <f t="shared" si="0"/>
        <v>27725642.589458615</v>
      </c>
      <c r="U8" s="22">
        <f t="shared" si="0"/>
        <v>28007858.856689822</v>
      </c>
      <c r="V8" s="22">
        <f t="shared" si="0"/>
        <v>28355680.602069851</v>
      </c>
      <c r="W8" s="22">
        <f t="shared" si="0"/>
        <v>28977482.375953265</v>
      </c>
      <c r="X8" s="22">
        <f t="shared" si="0"/>
        <v>29726394.758489877</v>
      </c>
      <c r="Y8" s="22">
        <f t="shared" si="0"/>
        <v>30275622.872110248</v>
      </c>
      <c r="Z8" s="22">
        <f t="shared" si="0"/>
        <v>31052940.765022777</v>
      </c>
      <c r="AA8" s="22">
        <f t="shared" si="0"/>
        <v>31802391.309874881</v>
      </c>
      <c r="AB8" s="22">
        <f t="shared" si="0"/>
        <v>32477449.284007892</v>
      </c>
      <c r="AC8" s="22">
        <f t="shared" si="0"/>
        <v>31099694.10156567</v>
      </c>
      <c r="AD8" s="22">
        <f t="shared" si="0"/>
        <v>33088485.368785892</v>
      </c>
      <c r="AE8" s="22">
        <f t="shared" si="0"/>
        <v>34125930.026687749</v>
      </c>
      <c r="AF8" s="22">
        <f t="shared" si="0"/>
        <v>34745844.913717255</v>
      </c>
      <c r="AG8" s="22">
        <f t="shared" si="0"/>
        <v>35441281.733028561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G26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H6" sqref="H6"/>
    </sheetView>
  </sheetViews>
  <sheetFormatPr baseColWidth="10" defaultColWidth="8.6328125" defaultRowHeight="14.5" x14ac:dyDescent="0.35"/>
  <cols>
    <col min="1" max="1" width="18" customWidth="1"/>
    <col min="2" max="2" width="11" customWidth="1"/>
    <col min="3" max="33" width="10" customWidth="1"/>
  </cols>
  <sheetData>
    <row r="1" spans="1:33" ht="17.25" customHeight="1" x14ac:dyDescent="0.4">
      <c r="A1" s="3" t="s">
        <v>111</v>
      </c>
    </row>
    <row r="2" spans="1:33" ht="15" customHeight="1" x14ac:dyDescent="0.35">
      <c r="A2" s="4" t="s">
        <v>112</v>
      </c>
    </row>
    <row r="4" spans="1:33" ht="15" customHeight="1" x14ac:dyDescent="0.35">
      <c r="A4" s="7" t="s">
        <v>25</v>
      </c>
      <c r="B4" s="7" t="s">
        <v>3</v>
      </c>
      <c r="C4" s="7" t="s">
        <v>34</v>
      </c>
      <c r="D4" s="7" t="s">
        <v>35</v>
      </c>
      <c r="E4" s="7" t="s">
        <v>36</v>
      </c>
      <c r="F4" s="7" t="s">
        <v>37</v>
      </c>
      <c r="G4" s="7" t="s">
        <v>38</v>
      </c>
      <c r="H4" s="7" t="s">
        <v>39</v>
      </c>
      <c r="I4" s="7" t="s">
        <v>5</v>
      </c>
      <c r="J4" s="7" t="s">
        <v>40</v>
      </c>
      <c r="K4" s="7" t="s">
        <v>41</v>
      </c>
      <c r="L4" s="7" t="s">
        <v>42</v>
      </c>
      <c r="M4" s="7" t="s">
        <v>43</v>
      </c>
      <c r="N4" s="7" t="s">
        <v>44</v>
      </c>
      <c r="O4" s="7" t="s">
        <v>45</v>
      </c>
      <c r="P4" s="7" t="s">
        <v>46</v>
      </c>
      <c r="Q4" s="7" t="s">
        <v>6</v>
      </c>
      <c r="R4" s="7" t="s">
        <v>7</v>
      </c>
      <c r="S4" s="7" t="s">
        <v>47</v>
      </c>
      <c r="T4" s="7" t="s">
        <v>48</v>
      </c>
      <c r="U4" s="7" t="s">
        <v>49</v>
      </c>
      <c r="V4" s="7" t="s">
        <v>50</v>
      </c>
      <c r="W4" s="7" t="s">
        <v>51</v>
      </c>
      <c r="X4" s="7" t="s">
        <v>52</v>
      </c>
      <c r="Y4" s="7" t="s">
        <v>53</v>
      </c>
      <c r="Z4" s="7" t="s">
        <v>54</v>
      </c>
      <c r="AA4" s="7" t="s">
        <v>55</v>
      </c>
      <c r="AB4" s="7" t="s">
        <v>56</v>
      </c>
      <c r="AC4" s="7" t="s">
        <v>8</v>
      </c>
      <c r="AD4" s="7" t="s">
        <v>57</v>
      </c>
      <c r="AE4" s="7" t="s">
        <v>58</v>
      </c>
      <c r="AF4" s="7" t="s">
        <v>59</v>
      </c>
      <c r="AG4" s="7" t="s">
        <v>9</v>
      </c>
    </row>
    <row r="5" spans="1:33" ht="15" customHeight="1" x14ac:dyDescent="0.35">
      <c r="A5" s="21" t="s">
        <v>60</v>
      </c>
      <c r="B5" s="11" t="s">
        <v>10</v>
      </c>
      <c r="C5" s="9">
        <f>IFERROR(Datos_EUR_Paises!D5/Datos_EUR_Paises!C5-1,"")</f>
        <v>2.5968556969325762E-2</v>
      </c>
      <c r="D5" s="9">
        <f>IFERROR(Datos_EUR_Paises!E5/Datos_EUR_Paises!D5-1,"")</f>
        <v>1.5049938420135911E-2</v>
      </c>
      <c r="E5" s="9">
        <f>IFERROR(Datos_EUR_Paises!F5/Datos_EUR_Paises!E5-1,"")</f>
        <v>1.0378755674360196E-2</v>
      </c>
      <c r="F5" s="9">
        <f>IFERROR(Datos_EUR_Paises!G5/Datos_EUR_Paises!F5-1,"")</f>
        <v>1.8543223839828427E-2</v>
      </c>
      <c r="G5" s="9">
        <f>IFERROR(Datos_EUR_Paises!H5/Datos_EUR_Paises!G5-1,"")</f>
        <v>2.095612311722328E-2</v>
      </c>
      <c r="H5" s="9">
        <f>IFERROR(Datos_EUR_Paises!I5/Datos_EUR_Paises!H5-1,"")</f>
        <v>2.1295701629777009E-2</v>
      </c>
      <c r="I5" s="9">
        <f>IFERROR(Datos_EUR_Paises!J5/Datos_EUR_Paises!I5-1,"")</f>
        <v>2.8765231247660727E-2</v>
      </c>
      <c r="J5" s="9">
        <f>IFERROR(Datos_EUR_Paises!K5/Datos_EUR_Paises!J5-1,"")</f>
        <v>1.6361417069095552E-2</v>
      </c>
      <c r="K5" s="9">
        <f>IFERROR(Datos_EUR_Paises!L5/Datos_EUR_Paises!K5-1,"")</f>
        <v>-2.2825571579380144E-3</v>
      </c>
      <c r="L5" s="9">
        <f>IFERROR(Datos_EUR_Paises!M5/Datos_EUR_Paises!L5-1,"")</f>
        <v>-5.2980139429129602E-3</v>
      </c>
      <c r="M5" s="9">
        <f>IFERROR(Datos_EUR_Paises!N5/Datos_EUR_Paises!M5-1,"")</f>
        <v>1.1620868450727739E-2</v>
      </c>
      <c r="N5" s="9">
        <f>IFERROR(Datos_EUR_Paises!O5/Datos_EUR_Paises!N5-1,"")</f>
        <v>8.8548529255159103E-3</v>
      </c>
      <c r="O5" s="9">
        <f>IFERROR(Datos_EUR_Paises!P5/Datos_EUR_Paises!O5-1,"")</f>
        <v>3.8666824152321144E-2</v>
      </c>
      <c r="P5" s="9">
        <f>IFERROR(Datos_EUR_Paises!Q5/Datos_EUR_Paises!P5-1,"")</f>
        <v>2.8891174138023556E-2</v>
      </c>
      <c r="Q5" s="9">
        <f>IFERROR(Datos_EUR_Paises!R5/Datos_EUR_Paises!Q5-1,"")</f>
        <v>8.8790233074360625E-3</v>
      </c>
      <c r="R5" s="9">
        <f>IFERROR(Datos_EUR_Paises!S5/Datos_EUR_Paises!R5-1,"")</f>
        <v>-5.5445545192064682E-2</v>
      </c>
      <c r="S5" s="9">
        <f>IFERROR(Datos_EUR_Paises!T5/Datos_EUR_Paises!S5-1,"")</f>
        <v>4.1346377852274463E-2</v>
      </c>
      <c r="T5" s="9">
        <f>IFERROR(Datos_EUR_Paises!U5/Datos_EUR_Paises!T5-1,"")</f>
        <v>3.757968844893389E-2</v>
      </c>
      <c r="U5" s="9">
        <f>IFERROR(Datos_EUR_Paises!V5/Datos_EUR_Paises!U5-1,"")</f>
        <v>4.6351203670904617E-3</v>
      </c>
      <c r="V5" s="9">
        <f>IFERROR(Datos_EUR_Paises!W5/Datos_EUR_Paises!V5-1,"")</f>
        <v>3.9699558377932487E-3</v>
      </c>
      <c r="W5" s="9">
        <f>IFERROR(Datos_EUR_Paises!X5/Datos_EUR_Paises!W5-1,"")</f>
        <v>2.1801860216801749E-2</v>
      </c>
      <c r="X5" s="9">
        <f>IFERROR(Datos_EUR_Paises!Y5/Datos_EUR_Paises!X5-1,"")</f>
        <v>1.6630060233475907E-2</v>
      </c>
      <c r="Y5" s="9">
        <f>IFERROR(Datos_EUR_Paises!Z5/Datos_EUR_Paises!Y5-1,"")</f>
        <v>2.2222221625937566E-2</v>
      </c>
      <c r="Z5" s="9">
        <f>IFERROR(Datos_EUR_Paises!AA5/Datos_EUR_Paises!Z5-1,"")</f>
        <v>2.7979067205510022E-2</v>
      </c>
      <c r="AA5" s="9">
        <f>IFERROR(Datos_EUR_Paises!AB5/Datos_EUR_Paises!AA5-1,"")</f>
        <v>1.13569604599848E-2</v>
      </c>
      <c r="AB5" s="9">
        <f>IFERROR(Datos_EUR_Paises!AC5/Datos_EUR_Paises!AB5-1,"")</f>
        <v>9.7773469703896776E-3</v>
      </c>
      <c r="AC5" s="9">
        <f>IFERROR(Datos_EUR_Paises!AD5/Datos_EUR_Paises!AC5-1,"")</f>
        <v>-4.1319144323996415E-2</v>
      </c>
      <c r="AD5" s="9">
        <f>IFERROR(Datos_EUR_Paises!AE5/Datos_EUR_Paises!AD5-1,"")</f>
        <v>3.9099999420412646E-2</v>
      </c>
      <c r="AE5" s="9">
        <f>IFERROR(Datos_EUR_Paises!AF5/Datos_EUR_Paises!AE5-1,"")</f>
        <v>1.8092581243061012E-2</v>
      </c>
      <c r="AF5" s="9">
        <f>IFERROR(Datos_EUR_Paises!AG5/Datos_EUR_Paises!AF5-1,"")</f>
        <v>-8.6964757857332931E-3</v>
      </c>
      <c r="AG5" s="9">
        <f>IFERROR(Datos_EUR_Paises!AH5/Datos_EUR_Paises!AG5-1,"")</f>
        <v>-4.9585189726036871E-3</v>
      </c>
    </row>
    <row r="6" spans="1:33" ht="15" customHeight="1" x14ac:dyDescent="0.35">
      <c r="A6" s="21" t="s">
        <v>62</v>
      </c>
      <c r="B6" s="11" t="s">
        <v>10</v>
      </c>
      <c r="C6" s="9">
        <f>IFERROR(Datos_EUR_Paises!D6/Datos_EUR_Paises!C6-1,"")</f>
        <v>2.4021184325906164E-2</v>
      </c>
      <c r="D6" s="9">
        <f>IFERROR(Datos_EUR_Paises!E6/Datos_EUR_Paises!D6-1,"")</f>
        <v>2.667983888825165E-2</v>
      </c>
      <c r="E6" s="9">
        <f>IFERROR(Datos_EUR_Paises!F6/Datos_EUR_Paises!E6-1,"")</f>
        <v>2.2157671308734583E-2</v>
      </c>
      <c r="F6" s="9">
        <f>IFERROR(Datos_EUR_Paises!G6/Datos_EUR_Paises!F6-1,"")</f>
        <v>2.1458350552645999E-2</v>
      </c>
      <c r="G6" s="9">
        <f>IFERROR(Datos_EUR_Paises!H6/Datos_EUR_Paises!G6-1,"")</f>
        <v>3.4928800296232909E-2</v>
      </c>
      <c r="H6" s="9">
        <f>IFERROR(Datos_EUR_Paises!I6/Datos_EUR_Paises!H6-1,"")</f>
        <v>3.7619243519046774E-2</v>
      </c>
      <c r="I6" s="9">
        <f>IFERROR(Datos_EUR_Paises!J6/Datos_EUR_Paises!I6-1,"")</f>
        <v>3.189522929887767E-2</v>
      </c>
      <c r="J6" s="9">
        <f>IFERROR(Datos_EUR_Paises!K6/Datos_EUR_Paises!J6-1,"")</f>
        <v>1.3169874957134953E-2</v>
      </c>
      <c r="K6" s="9">
        <f>IFERROR(Datos_EUR_Paises!L6/Datos_EUR_Paises!K6-1,"")</f>
        <v>1.4843687760532021E-2</v>
      </c>
      <c r="L6" s="9">
        <f>IFERROR(Datos_EUR_Paises!M6/Datos_EUR_Paises!L6-1,"")</f>
        <v>1.141565045427817E-2</v>
      </c>
      <c r="M6" s="9">
        <f>IFERROR(Datos_EUR_Paises!N6/Datos_EUR_Paises!M6-1,"")</f>
        <v>2.5652553406785739E-2</v>
      </c>
      <c r="N6" s="9">
        <f>IFERROR(Datos_EUR_Paises!O6/Datos_EUR_Paises!N6-1,"")</f>
        <v>2.320365142667824E-2</v>
      </c>
      <c r="O6" s="9">
        <f>IFERROR(Datos_EUR_Paises!P6/Datos_EUR_Paises!O6-1,"")</f>
        <v>3.2693360150603423E-2</v>
      </c>
      <c r="P6" s="9">
        <f>IFERROR(Datos_EUR_Paises!Q6/Datos_EUR_Paises!P6-1,"")</f>
        <v>3.7752246872921447E-2</v>
      </c>
      <c r="Q6" s="9">
        <f>IFERROR(Datos_EUR_Paises!R6/Datos_EUR_Paises!Q6-1,"")</f>
        <v>1.4533056214209195E-2</v>
      </c>
      <c r="R6" s="9">
        <f>IFERROR(Datos_EUR_Paises!S6/Datos_EUR_Paises!R6-1,"")</f>
        <v>-3.5862647255129998E-2</v>
      </c>
      <c r="S6" s="9">
        <f>IFERROR(Datos_EUR_Paises!T6/Datos_EUR_Paises!S6-1,"")</f>
        <v>1.8089824304366564E-2</v>
      </c>
      <c r="T6" s="9">
        <f>IFERROR(Datos_EUR_Paises!U6/Datos_EUR_Paises!T6-1,"")</f>
        <v>2.9274680016915022E-2</v>
      </c>
      <c r="U6" s="9">
        <f>IFERROR(Datos_EUR_Paises!V6/Datos_EUR_Paises!U6-1,"")</f>
        <v>6.282462394796573E-3</v>
      </c>
      <c r="V6" s="9">
        <f>IFERROR(Datos_EUR_Paises!W6/Datos_EUR_Paises!V6-1,"")</f>
        <v>-2.5072642331845918E-3</v>
      </c>
      <c r="W6" s="9">
        <f>IFERROR(Datos_EUR_Paises!X6/Datos_EUR_Paises!W6-1,"")</f>
        <v>7.5579885031664684E-3</v>
      </c>
      <c r="X6" s="9">
        <f>IFERROR(Datos_EUR_Paises!Y6/Datos_EUR_Paises!X6-1,"")</f>
        <v>1.3035233182621342E-2</v>
      </c>
      <c r="Y6" s="9">
        <f>IFERROR(Datos_EUR_Paises!Z6/Datos_EUR_Paises!Y6-1,"")</f>
        <v>2.1172196449431357E-2</v>
      </c>
      <c r="Z6" s="9">
        <f>IFERROR(Datos_EUR_Paises!AA6/Datos_EUR_Paises!Z6-1,"")</f>
        <v>2.2722499203820412E-2</v>
      </c>
      <c r="AA6" s="9">
        <f>IFERROR(Datos_EUR_Paises!AB6/Datos_EUR_Paises!AA6-1,"")</f>
        <v>2.484221140800158E-2</v>
      </c>
      <c r="AB6" s="9">
        <f>IFERROR(Datos_EUR_Paises!AC6/Datos_EUR_Paises!AB6-1,"")</f>
        <v>1.7549761964928301E-2</v>
      </c>
      <c r="AC6" s="9">
        <f>IFERROR(Datos_EUR_Paises!AD6/Datos_EUR_Paises!AC6-1,"")</f>
        <v>-6.3182550920994007E-2</v>
      </c>
      <c r="AD6" s="9">
        <f>IFERROR(Datos_EUR_Paises!AE6/Datos_EUR_Paises!AD6-1,"")</f>
        <v>4.9230917171789512E-2</v>
      </c>
      <c r="AE6" s="9">
        <f>IFERROR(Datos_EUR_Paises!AF6/Datos_EUR_Paises!AE6-1,"")</f>
        <v>5.3309637940037291E-2</v>
      </c>
      <c r="AF6" s="9">
        <f>IFERROR(Datos_EUR_Paises!AG6/Datos_EUR_Paises!AF6-1,"")</f>
        <v>-7.8624428859448425E-3</v>
      </c>
      <c r="AG6" s="9">
        <f>IFERROR(Datos_EUR_Paises!AH6/Datos_EUR_Paises!AG6-1,"")</f>
        <v>-6.5908957317136752E-3</v>
      </c>
    </row>
    <row r="7" spans="1:33" ht="15" customHeight="1" x14ac:dyDescent="0.35">
      <c r="A7" s="21" t="s">
        <v>64</v>
      </c>
      <c r="B7" s="11" t="s">
        <v>10</v>
      </c>
      <c r="C7" s="9">
        <f>IFERROR(Datos_EUR_Paises!D7/Datos_EUR_Paises!C7-1,"")</f>
        <v>3.2269714542624728E-2</v>
      </c>
      <c r="D7" s="9">
        <f>IFERROR(Datos_EUR_Paises!E7/Datos_EUR_Paises!D7-1,"")</f>
        <v>2.3847572487014412E-2</v>
      </c>
      <c r="E7" s="9">
        <f>IFERROR(Datos_EUR_Paises!F7/Datos_EUR_Paises!E7-1,"")</f>
        <v>1.3214321443260291E-2</v>
      </c>
      <c r="F7" s="9">
        <f>IFERROR(Datos_EUR_Paises!G7/Datos_EUR_Paises!F7-1,"")</f>
        <v>3.7936716554144434E-2</v>
      </c>
      <c r="G7" s="9">
        <f>IFERROR(Datos_EUR_Paises!H7/Datos_EUR_Paises!G7-1,"")</f>
        <v>1.9618324045559632E-2</v>
      </c>
      <c r="H7" s="9">
        <f>IFERROR(Datos_EUR_Paises!I7/Datos_EUR_Paises!H7-1,"")</f>
        <v>3.5427179882392634E-2</v>
      </c>
      <c r="I7" s="9">
        <f>IFERROR(Datos_EUR_Paises!J7/Datos_EUR_Paises!I7-1,"")</f>
        <v>3.716705106725926E-2</v>
      </c>
      <c r="J7" s="9">
        <f>IFERROR(Datos_EUR_Paises!K7/Datos_EUR_Paises!J7-1,"")</f>
        <v>1.0996036241964102E-2</v>
      </c>
      <c r="K7" s="9">
        <f>IFERROR(Datos_EUR_Paises!L7/Datos_EUR_Paises!K7-1,"")</f>
        <v>1.7068943034960204E-2</v>
      </c>
      <c r="L7" s="9">
        <f>IFERROR(Datos_EUR_Paises!M7/Datos_EUR_Paises!L7-1,"")</f>
        <v>1.0379551816222188E-2</v>
      </c>
      <c r="M7" s="9">
        <f>IFERROR(Datos_EUR_Paises!N7/Datos_EUR_Paises!M7-1,"")</f>
        <v>3.5712067194230812E-2</v>
      </c>
      <c r="N7" s="9">
        <f>IFERROR(Datos_EUR_Paises!O7/Datos_EUR_Paises!N7-1,"")</f>
        <v>2.3217379291182949E-2</v>
      </c>
      <c r="O7" s="9">
        <f>IFERROR(Datos_EUR_Paises!P7/Datos_EUR_Paises!O7-1,"")</f>
        <v>2.5523408732247121E-2</v>
      </c>
      <c r="P7" s="9">
        <f>IFERROR(Datos_EUR_Paises!Q7/Datos_EUR_Paises!P7-1,"")</f>
        <v>3.6769246251580068E-2</v>
      </c>
      <c r="Q7" s="9">
        <f>IFERROR(Datos_EUR_Paises!R7/Datos_EUR_Paises!Q7-1,"")</f>
        <v>4.469051307272931E-3</v>
      </c>
      <c r="R7" s="9">
        <f>IFERROR(Datos_EUR_Paises!S7/Datos_EUR_Paises!R7-1,"")</f>
        <v>-1.9064410551533961E-2</v>
      </c>
      <c r="S7" s="9">
        <f>IFERROR(Datos_EUR_Paises!T7/Datos_EUR_Paises!S7-1,"")</f>
        <v>2.7103115025464808E-2</v>
      </c>
      <c r="T7" s="9">
        <f>IFERROR(Datos_EUR_Paises!U7/Datos_EUR_Paises!T7-1,"")</f>
        <v>1.9311550241133846E-2</v>
      </c>
      <c r="U7" s="9">
        <f>IFERROR(Datos_EUR_Paises!V7/Datos_EUR_Paises!U7-1,"")</f>
        <v>2.1580361208968224E-3</v>
      </c>
      <c r="V7" s="9">
        <f>IFERROR(Datos_EUR_Paises!W7/Datos_EUR_Paises!V7-1,"")</f>
        <v>3.0549454907031759E-3</v>
      </c>
      <c r="W7" s="9">
        <f>IFERROR(Datos_EUR_Paises!X7/Datos_EUR_Paises!W7-1,"")</f>
        <v>1.76554038149912E-2</v>
      </c>
      <c r="X7" s="9">
        <f>IFERROR(Datos_EUR_Paises!Y7/Datos_EUR_Paises!X7-1,"")</f>
        <v>1.4741643373192614E-2</v>
      </c>
      <c r="Y7" s="9">
        <f>IFERROR(Datos_EUR_Paises!Z7/Datos_EUR_Paises!Y7-1,"")</f>
        <v>1.1935027300776113E-2</v>
      </c>
      <c r="Z7" s="9">
        <f>IFERROR(Datos_EUR_Paises!AA7/Datos_EUR_Paises!Z7-1,"")</f>
        <v>1.4744676155676872E-2</v>
      </c>
      <c r="AA7" s="9">
        <f>IFERROR(Datos_EUR_Paises!AB7/Datos_EUR_Paises!AA7-1,"")</f>
        <v>1.877968473835856E-2</v>
      </c>
      <c r="AB7" s="9">
        <f>IFERROR(Datos_EUR_Paises!AC7/Datos_EUR_Paises!AB7-1,"")</f>
        <v>2.442890044815571E-2</v>
      </c>
      <c r="AC7" s="9">
        <f>IFERROR(Datos_EUR_Paises!AD7/Datos_EUR_Paises!AC7-1,"")</f>
        <v>-4.7929839083519332E-2</v>
      </c>
      <c r="AD7" s="9">
        <f>IFERROR(Datos_EUR_Paises!AE7/Datos_EUR_Paises!AD7-1,"")</f>
        <v>6.2544568646659693E-2</v>
      </c>
      <c r="AE7" s="9">
        <f>IFERROR(Datos_EUR_Paises!AF7/Datos_EUR_Paises!AE7-1,"")</f>
        <v>3.9562379757933863E-2</v>
      </c>
      <c r="AF7" s="9">
        <f>IFERROR(Datos_EUR_Paises!AG7/Datos_EUR_Paises!AF7-1,"")</f>
        <v>1.7141219551522813E-2</v>
      </c>
      <c r="AG7" s="9">
        <f>IFERROR(Datos_EUR_Paises!AH7/Datos_EUR_Paises!AG7-1,"")</f>
        <v>1.0704541301942649E-2</v>
      </c>
    </row>
    <row r="8" spans="1:33" ht="15" customHeight="1" x14ac:dyDescent="0.35">
      <c r="A8" s="21" t="s">
        <v>66</v>
      </c>
      <c r="B8" s="11" t="s">
        <v>10</v>
      </c>
      <c r="C8" s="9">
        <f>IFERROR(Datos_EUR_Paises!D8/Datos_EUR_Paises!C8-1,"")</f>
        <v>5.8999992852313943E-2</v>
      </c>
      <c r="D8" s="9">
        <f>IFERROR(Datos_EUR_Paises!E8/Datos_EUR_Paises!D8-1,"")</f>
        <v>8.3624688571010353E-2</v>
      </c>
      <c r="E8" s="9">
        <f>IFERROR(Datos_EUR_Paises!F8/Datos_EUR_Paises!E8-1,"")</f>
        <v>1.2485414752710922E-2</v>
      </c>
      <c r="F8" s="9">
        <f>IFERROR(Datos_EUR_Paises!G8/Datos_EUR_Paises!F8-1,"")</f>
        <v>2.6409306635148289E-2</v>
      </c>
      <c r="G8" s="9">
        <f>IFERROR(Datos_EUR_Paises!H8/Datos_EUR_Paises!G8-1,"")</f>
        <v>6.1108829494707306E-2</v>
      </c>
      <c r="H8" s="9">
        <f>IFERROR(Datos_EUR_Paises!I8/Datos_EUR_Paises!H8-1,"")</f>
        <v>4.9979546948293763E-2</v>
      </c>
      <c r="I8" s="9">
        <f>IFERROR(Datos_EUR_Paises!J8/Datos_EUR_Paises!I8-1,"")</f>
        <v>5.9653044549424328E-2</v>
      </c>
      <c r="J8" s="9">
        <f>IFERROR(Datos_EUR_Paises!K8/Datos_EUR_Paises!J8-1,"")</f>
        <v>3.9525625820089338E-2</v>
      </c>
      <c r="K8" s="9">
        <f>IFERROR(Datos_EUR_Paises!L8/Datos_EUR_Paises!K8-1,"")</f>
        <v>3.722974911289656E-2</v>
      </c>
      <c r="L8" s="9">
        <f>IFERROR(Datos_EUR_Paises!M8/Datos_EUR_Paises!L8-1,"")</f>
        <v>2.6232996231533301E-2</v>
      </c>
      <c r="M8" s="9">
        <f>IFERROR(Datos_EUR_Paises!N8/Datos_EUR_Paises!M8-1,"")</f>
        <v>5.0262722666557957E-2</v>
      </c>
      <c r="N8" s="9">
        <f>IFERROR(Datos_EUR_Paises!O8/Datos_EUR_Paises!N8-1,"")</f>
        <v>4.8529876217553891E-2</v>
      </c>
      <c r="O8" s="9">
        <f>IFERROR(Datos_EUR_Paises!P8/Datos_EUR_Paises!O8-1,"")</f>
        <v>4.7137835859395238E-2</v>
      </c>
      <c r="P8" s="9">
        <f>IFERROR(Datos_EUR_Paises!Q8/Datos_EUR_Paises!P8-1,"")</f>
        <v>5.0982261485479796E-2</v>
      </c>
      <c r="Q8" s="9">
        <f>IFERROR(Datos_EUR_Paises!R8/Datos_EUR_Paises!Q8-1,"")</f>
        <v>3.6469892210395649E-2</v>
      </c>
      <c r="R8" s="9">
        <f>IFERROR(Datos_EUR_Paises!S8/Datos_EUR_Paises!R8-1,"")</f>
        <v>-2.0150820368370459E-2</v>
      </c>
      <c r="S8" s="9">
        <f>IFERROR(Datos_EUR_Paises!T8/Datos_EUR_Paises!S8-1,"")</f>
        <v>2.2826710011981888E-2</v>
      </c>
      <c r="T8" s="9">
        <f>IFERROR(Datos_EUR_Paises!U8/Datos_EUR_Paises!T8-1,"")</f>
        <v>4.1671186840841479E-3</v>
      </c>
      <c r="U8" s="9">
        <f>IFERROR(Datos_EUR_Paises!V8/Datos_EUR_Paises!U8-1,"")</f>
        <v>-3.4473815137456953E-2</v>
      </c>
      <c r="V8" s="9">
        <f>IFERROR(Datos_EUR_Paises!W8/Datos_EUR_Paises!V8-1,"")</f>
        <v>-6.5874775111833483E-2</v>
      </c>
      <c r="W8" s="9">
        <f>IFERROR(Datos_EUR_Paises!X8/Datos_EUR_Paises!W8-1,"")</f>
        <v>-1.776058677286485E-2</v>
      </c>
      <c r="X8" s="9">
        <f>IFERROR(Datos_EUR_Paises!Y8/Datos_EUR_Paises!X8-1,"")</f>
        <v>3.4189203888902453E-2</v>
      </c>
      <c r="Y8" s="9">
        <f>IFERROR(Datos_EUR_Paises!Z8/Datos_EUR_Paises!Y8-1,"")</f>
        <v>6.5735908092467987E-2</v>
      </c>
      <c r="Z8" s="9">
        <f>IFERROR(Datos_EUR_Paises!AA8/Datos_EUR_Paises!Z8-1,"")</f>
        <v>5.7508323655450999E-2</v>
      </c>
      <c r="AA8" s="9">
        <f>IFERROR(Datos_EUR_Paises!AB8/Datos_EUR_Paises!AA8-1,"")</f>
        <v>6.2716636005642812E-2</v>
      </c>
      <c r="AB8" s="9">
        <f>IFERROR(Datos_EUR_Paises!AC8/Datos_EUR_Paises!AB8-1,"")</f>
        <v>5.8755958338660541E-2</v>
      </c>
      <c r="AC8" s="9">
        <f>IFERROR(Datos_EUR_Paises!AD8/Datos_EUR_Paises!AC8-1,"")</f>
        <v>-3.2206301863756615E-2</v>
      </c>
      <c r="AD8" s="9">
        <f>IFERROR(Datos_EUR_Paises!AE8/Datos_EUR_Paises!AD8-1,"")</f>
        <v>0.1139755908015132</v>
      </c>
      <c r="AE8" s="9">
        <f>IFERROR(Datos_EUR_Paises!AF8/Datos_EUR_Paises!AE8-1,"")</f>
        <v>8.2737259729378954E-2</v>
      </c>
      <c r="AF8" s="9">
        <f>IFERROR(Datos_EUR_Paises!AG8/Datos_EUR_Paises!AF8-1,"")</f>
        <v>3.6194564463687851E-2</v>
      </c>
      <c r="AG8" s="9">
        <f>IFERROR(Datos_EUR_Paises!AH8/Datos_EUR_Paises!AG8-1,"")</f>
        <v>3.9407738170840201E-2</v>
      </c>
    </row>
    <row r="9" spans="1:33" ht="15" customHeight="1" x14ac:dyDescent="0.35">
      <c r="A9" s="21" t="s">
        <v>68</v>
      </c>
      <c r="B9" s="11" t="s">
        <v>10</v>
      </c>
      <c r="C9" s="9">
        <f>IFERROR(Datos_EUR_Paises!D9/Datos_EUR_Paises!C9-1,"")</f>
        <v>5.8704746486406112E-2</v>
      </c>
      <c r="D9" s="9">
        <f>IFERROR(Datos_EUR_Paises!E9/Datos_EUR_Paises!D9-1,"")</f>
        <v>6.7507140196874982E-2</v>
      </c>
      <c r="E9" s="9">
        <f>IFERROR(Datos_EUR_Paises!F9/Datos_EUR_Paises!E9-1,"")</f>
        <v>6.1089808497578169E-2</v>
      </c>
      <c r="F9" s="9">
        <f>IFERROR(Datos_EUR_Paises!G9/Datos_EUR_Paises!F9-1,"")</f>
        <v>6.1679905473343233E-2</v>
      </c>
      <c r="G9" s="9">
        <f>IFERROR(Datos_EUR_Paises!H9/Datos_EUR_Paises!G9-1,"")</f>
        <v>2.251677912906902E-2</v>
      </c>
      <c r="H9" s="9">
        <f>IFERROR(Datos_EUR_Paises!I9/Datos_EUR_Paises!H9-1,"")</f>
        <v>-8.4869442959162322E-3</v>
      </c>
      <c r="I9" s="9">
        <f>IFERROR(Datos_EUR_Paises!J9/Datos_EUR_Paises!I9-1,"")</f>
        <v>2.9452531512718094E-2</v>
      </c>
      <c r="J9" s="9">
        <f>IFERROR(Datos_EUR_Paises!K9/Datos_EUR_Paises!J9-1,"")</f>
        <v>3.111234909720717E-2</v>
      </c>
      <c r="K9" s="9">
        <f>IFERROR(Datos_EUR_Paises!L9/Datos_EUR_Paises!K9-1,"")</f>
        <v>5.8033282590404855E-2</v>
      </c>
      <c r="L9" s="9">
        <f>IFERROR(Datos_EUR_Paises!M9/Datos_EUR_Paises!L9-1,"")</f>
        <v>5.5683728281751499E-2</v>
      </c>
      <c r="M9" s="9">
        <f>IFERROR(Datos_EUR_Paises!N9/Datos_EUR_Paises!M9-1,"")</f>
        <v>4.1704848987897059E-2</v>
      </c>
      <c r="N9" s="9">
        <f>IFERROR(Datos_EUR_Paises!O9/Datos_EUR_Paises!N9-1,"")</f>
        <v>4.3270764246792881E-2</v>
      </c>
      <c r="O9" s="9">
        <f>IFERROR(Datos_EUR_Paises!P9/Datos_EUR_Paises!O9-1,"")</f>
        <v>5.0690777084140048E-2</v>
      </c>
      <c r="P9" s="9">
        <f>IFERROR(Datos_EUR_Paises!Q9/Datos_EUR_Paises!P9-1,"")</f>
        <v>5.0492763524811135E-2</v>
      </c>
      <c r="Q9" s="9">
        <f>IFERROR(Datos_EUR_Paises!R9/Datos_EUR_Paises!Q9-1,"")</f>
        <v>1.9728700672388078E-2</v>
      </c>
      <c r="R9" s="9">
        <f>IFERROR(Datos_EUR_Paises!S9/Datos_EUR_Paises!R9-1,"")</f>
        <v>-6.8123121757257321E-2</v>
      </c>
      <c r="S9" s="9">
        <f>IFERROR(Datos_EUR_Paises!T9/Datos_EUR_Paises!S9-1,"")</f>
        <v>-1.3360467235496998E-2</v>
      </c>
      <c r="T9" s="9">
        <f>IFERROR(Datos_EUR_Paises!U9/Datos_EUR_Paises!T9-1,"")</f>
        <v>-1.1090672244662425E-3</v>
      </c>
      <c r="U9" s="9">
        <f>IFERROR(Datos_EUR_Paises!V9/Datos_EUR_Paises!U9-1,"")</f>
        <v>-2.2374336011978135E-2</v>
      </c>
      <c r="V9" s="9">
        <f>IFERROR(Datos_EUR_Paises!W9/Datos_EUR_Paises!V9-1,"")</f>
        <v>-1.3364573653050771E-3</v>
      </c>
      <c r="W9" s="9">
        <f>IFERROR(Datos_EUR_Paises!X9/Datos_EUR_Paises!W9-1,"")</f>
        <v>-5.5769291361462692E-3</v>
      </c>
      <c r="X9" s="9">
        <f>IFERROR(Datos_EUR_Paises!Y9/Datos_EUR_Paises!X9-1,"")</f>
        <v>2.3199869270838169E-2</v>
      </c>
      <c r="Y9" s="9">
        <f>IFERROR(Datos_EUR_Paises!Z9/Datos_EUR_Paises!Y9-1,"")</f>
        <v>3.4664611428817826E-2</v>
      </c>
      <c r="Z9" s="9">
        <f>IFERROR(Datos_EUR_Paises!AA9/Datos_EUR_Paises!Z9-1,"")</f>
        <v>3.2839632164302079E-2</v>
      </c>
      <c r="AA9" s="9">
        <f>IFERROR(Datos_EUR_Paises!AB9/Datos_EUR_Paises!AA9-1,"")</f>
        <v>2.9110759340784664E-2</v>
      </c>
      <c r="AB9" s="9">
        <f>IFERROR(Datos_EUR_Paises!AC9/Datos_EUR_Paises!AB9-1,"")</f>
        <v>3.1015268389485318E-2</v>
      </c>
      <c r="AC9" s="9">
        <f>IFERROR(Datos_EUR_Paises!AD9/Datos_EUR_Paises!AC9-1,"")</f>
        <v>-8.310864015011965E-2</v>
      </c>
      <c r="AD9" s="9">
        <f>IFERROR(Datos_EUR_Paises!AE9/Datos_EUR_Paises!AD9-1,"")</f>
        <v>0.1263221903510241</v>
      </c>
      <c r="AE9" s="9">
        <f>IFERROR(Datos_EUR_Paises!AF9/Datos_EUR_Paises!AE9-1,"")</f>
        <v>7.2944534364267177E-2</v>
      </c>
      <c r="AF9" s="9">
        <f>IFERROR(Datos_EUR_Paises!AG9/Datos_EUR_Paises!AF9-1,"")</f>
        <v>3.7616454070345862E-2</v>
      </c>
      <c r="AG9" s="9">
        <f>IFERROR(Datos_EUR_Paises!AH9/Datos_EUR_Paises!AG9-1,"")</f>
        <v>3.826887028907322E-2</v>
      </c>
    </row>
    <row r="10" spans="1:33" ht="15" customHeight="1" x14ac:dyDescent="0.35">
      <c r="A10" s="21" t="s">
        <v>70</v>
      </c>
      <c r="B10" s="11" t="s">
        <v>10</v>
      </c>
      <c r="C10" s="9">
        <f>IFERROR(Datos_EUR_Paises!D10/Datos_EUR_Paises!C10-1,"")</f>
        <v>6.2055305190012344E-2</v>
      </c>
      <c r="D10" s="9">
        <f>IFERROR(Datos_EUR_Paises!E10/Datos_EUR_Paises!D10-1,"")</f>
        <v>5.843494299533436E-2</v>
      </c>
      <c r="E10" s="9">
        <f>IFERROR(Datos_EUR_Paises!F10/Datos_EUR_Paises!E10-1,"")</f>
        <v>6.1195787855655714E-2</v>
      </c>
      <c r="F10" s="9">
        <f>IFERROR(Datos_EUR_Paises!G10/Datos_EUR_Paises!F10-1,"")</f>
        <v>5.4858401854627648E-2</v>
      </c>
      <c r="G10" s="9">
        <f>IFERROR(Datos_EUR_Paises!H10/Datos_EUR_Paises!G10-1,"")</f>
        <v>3.8261077356060991E-2</v>
      </c>
      <c r="H10" s="9">
        <f>IFERROR(Datos_EUR_Paises!I10/Datos_EUR_Paises!H10-1,"")</f>
        <v>-4.7326120962101204E-3</v>
      </c>
      <c r="I10" s="9">
        <f>IFERROR(Datos_EUR_Paises!J10/Datos_EUR_Paises!I10-1,"")</f>
        <v>7.8922447792511008E-3</v>
      </c>
      <c r="J10" s="9">
        <f>IFERROR(Datos_EUR_Paises!K10/Datos_EUR_Paises!J10-1,"")</f>
        <v>2.9251607724848361E-2</v>
      </c>
      <c r="K10" s="9">
        <f>IFERROR(Datos_EUR_Paises!L10/Datos_EUR_Paises!K10-1,"")</f>
        <v>4.4172534827152665E-2</v>
      </c>
      <c r="L10" s="9">
        <f>IFERROR(Datos_EUR_Paises!M10/Datos_EUR_Paises!L10-1,"")</f>
        <v>4.8566985159130827E-2</v>
      </c>
      <c r="M10" s="9">
        <f>IFERROR(Datos_EUR_Paises!N10/Datos_EUR_Paises!M10-1,"")</f>
        <v>5.3894985699676434E-2</v>
      </c>
      <c r="N10" s="9">
        <f>IFERROR(Datos_EUR_Paises!O10/Datos_EUR_Paises!N10-1,"")</f>
        <v>6.4849322227438666E-2</v>
      </c>
      <c r="O10" s="9">
        <f>IFERROR(Datos_EUR_Paises!P10/Datos_EUR_Paises!O10-1,"")</f>
        <v>8.9256870477023131E-2</v>
      </c>
      <c r="P10" s="9">
        <f>IFERROR(Datos_EUR_Paises!Q10/Datos_EUR_Paises!P10-1,"")</f>
        <v>0.10818629507490329</v>
      </c>
      <c r="Q10" s="9">
        <f>IFERROR(Datos_EUR_Paises!R10/Datos_EUR_Paises!Q10-1,"")</f>
        <v>5.3633772123194312E-2</v>
      </c>
      <c r="R10" s="9">
        <f>IFERROR(Datos_EUR_Paises!S10/Datos_EUR_Paises!R10-1,"")</f>
        <v>-5.5053379097222077E-2</v>
      </c>
      <c r="S10" s="9">
        <f>IFERROR(Datos_EUR_Paises!T10/Datos_EUR_Paises!S10-1,"")</f>
        <v>6.7905815914242051E-2</v>
      </c>
      <c r="T10" s="9">
        <f>IFERROR(Datos_EUR_Paises!U10/Datos_EUR_Paises!T10-1,"")</f>
        <v>2.5624247321555105E-2</v>
      </c>
      <c r="U10" s="9">
        <f>IFERROR(Datos_EUR_Paises!V10/Datos_EUR_Paises!U10-1,"")</f>
        <v>1.569171047027007E-2</v>
      </c>
      <c r="V10" s="9">
        <f>IFERROR(Datos_EUR_Paises!W10/Datos_EUR_Paises!V10-1,"")</f>
        <v>7.033235452472919E-3</v>
      </c>
      <c r="W10" s="9">
        <f>IFERROR(Datos_EUR_Paises!X10/Datos_EUR_Paises!W10-1,"")</f>
        <v>2.7079515144948108E-2</v>
      </c>
      <c r="X10" s="9">
        <f>IFERROR(Datos_EUR_Paises!Y10/Datos_EUR_Paises!X10-1,"")</f>
        <v>5.1768790972213985E-2</v>
      </c>
      <c r="Y10" s="9">
        <f>IFERROR(Datos_EUR_Paises!Z10/Datos_EUR_Paises!Y10-1,"")</f>
        <v>1.9478184152455169E-2</v>
      </c>
      <c r="Z10" s="9">
        <f>IFERROR(Datos_EUR_Paises!AA10/Datos_EUR_Paises!Z10-1,"")</f>
        <v>2.8747332745370002E-2</v>
      </c>
      <c r="AA10" s="9">
        <f>IFERROR(Datos_EUR_Paises!AB10/Datos_EUR_Paises!AA10-1,"")</f>
        <v>4.0621198189648933E-2</v>
      </c>
      <c r="AB10" s="9">
        <f>IFERROR(Datos_EUR_Paises!AC10/Datos_EUR_Paises!AB10-1,"")</f>
        <v>2.2758991001939455E-2</v>
      </c>
      <c r="AC10" s="9">
        <f>IFERROR(Datos_EUR_Paises!AD10/Datos_EUR_Paises!AC10-1,"")</f>
        <v>-2.585512417332092E-2</v>
      </c>
      <c r="AD10" s="9">
        <f>IFERROR(Datos_EUR_Paises!AE10/Datos_EUR_Paises!AD10-1,"")</f>
        <v>5.6558588065556581E-2</v>
      </c>
      <c r="AE10" s="9">
        <f>IFERROR(Datos_EUR_Paises!AF10/Datos_EUR_Paises!AE10-1,"")</f>
        <v>5.4459163213691486E-3</v>
      </c>
      <c r="AF10" s="9">
        <f>IFERROR(Datos_EUR_Paises!AG10/Datos_EUR_Paises!AF10-1,"")</f>
        <v>2.1126363321500641E-2</v>
      </c>
      <c r="AG10" s="9">
        <f>IFERROR(Datos_EUR_Paises!AH10/Datos_EUR_Paises!AG10-1,"")</f>
        <v>1.9386744554946489E-2</v>
      </c>
    </row>
    <row r="11" spans="1:33" ht="15" customHeight="1" x14ac:dyDescent="0.35">
      <c r="A11" s="21" t="s">
        <v>72</v>
      </c>
      <c r="B11" s="11" t="s">
        <v>10</v>
      </c>
      <c r="C11" s="9">
        <f>IFERROR(Datos_EUR_Paises!D11/Datos_EUR_Paises!C11-1,"")</f>
        <v>5.3274857426174549E-2</v>
      </c>
      <c r="D11" s="9">
        <f>IFERROR(Datos_EUR_Paises!E11/Datos_EUR_Paises!D11-1,"")</f>
        <v>4.1071583556779423E-2</v>
      </c>
      <c r="E11" s="9">
        <f>IFERROR(Datos_EUR_Paises!F11/Datos_EUR_Paises!E11-1,"")</f>
        <v>2.9136177526255302E-2</v>
      </c>
      <c r="F11" s="9">
        <f>IFERROR(Datos_EUR_Paises!G11/Datos_EUR_Paises!F11-1,"")</f>
        <v>5.1713382731052526E-2</v>
      </c>
      <c r="G11" s="9">
        <f>IFERROR(Datos_EUR_Paises!H11/Datos_EUR_Paises!G11-1,"")</f>
        <v>3.0638259580200833E-2</v>
      </c>
      <c r="H11" s="9">
        <f>IFERROR(Datos_EUR_Paises!I11/Datos_EUR_Paises!H11-1,"")</f>
        <v>5.2680070042724791E-2</v>
      </c>
      <c r="I11" s="9">
        <f>IFERROR(Datos_EUR_Paises!J11/Datos_EUR_Paises!I11-1,"")</f>
        <v>3.4979194208608844E-2</v>
      </c>
      <c r="J11" s="9">
        <f>IFERROR(Datos_EUR_Paises!K11/Datos_EUR_Paises!J11-1,"")</f>
        <v>2.828684794304559E-2</v>
      </c>
      <c r="K11" s="9">
        <f>IFERROR(Datos_EUR_Paises!L11/Datos_EUR_Paises!K11-1,"")</f>
        <v>3.2825837139391911E-2</v>
      </c>
      <c r="L11" s="9">
        <f>IFERROR(Datos_EUR_Paises!M11/Datos_EUR_Paises!L11-1,"")</f>
        <v>3.1950311723604186E-2</v>
      </c>
      <c r="M11" s="9">
        <f>IFERROR(Datos_EUR_Paises!N11/Datos_EUR_Paises!M11-1,"")</f>
        <v>4.5460221435233539E-2</v>
      </c>
      <c r="N11" s="9">
        <f>IFERROR(Datos_EUR_Paises!O11/Datos_EUR_Paises!N11-1,"")</f>
        <v>3.8541277114569228E-2</v>
      </c>
      <c r="O11" s="9">
        <f>IFERROR(Datos_EUR_Paises!P11/Datos_EUR_Paises!O11-1,"")</f>
        <v>5.908781300111654E-2</v>
      </c>
      <c r="P11" s="9">
        <f>IFERROR(Datos_EUR_Paises!Q11/Datos_EUR_Paises!P11-1,"")</f>
        <v>7.1392312914716038E-2</v>
      </c>
      <c r="Q11" s="9">
        <f>IFERROR(Datos_EUR_Paises!R11/Datos_EUR_Paises!Q11-1,"")</f>
        <v>3.372238661141358E-2</v>
      </c>
      <c r="R11" s="9">
        <f>IFERROR(Datos_EUR_Paises!S11/Datos_EUR_Paises!R11-1,"")</f>
        <v>-7.5905861404639396E-2</v>
      </c>
      <c r="S11" s="9">
        <f>IFERROR(Datos_EUR_Paises!T11/Datos_EUR_Paises!S11-1,"")</f>
        <v>1.1121371930675306E-2</v>
      </c>
      <c r="T11" s="9">
        <f>IFERROR(Datos_EUR_Paises!U11/Datos_EUR_Paises!T11-1,"")</f>
        <v>6.5543812837967064E-3</v>
      </c>
      <c r="U11" s="9">
        <f>IFERROR(Datos_EUR_Paises!V11/Datos_EUR_Paises!U11-1,"")</f>
        <v>-2.9155378204046678E-2</v>
      </c>
      <c r="V11" s="9">
        <f>IFERROR(Datos_EUR_Paises!W11/Datos_EUR_Paises!V11-1,"")</f>
        <v>-8.2377641769177945E-3</v>
      </c>
      <c r="W11" s="9">
        <f>IFERROR(Datos_EUR_Paises!X11/Datos_EUR_Paises!W11-1,"")</f>
        <v>2.7628332763975472E-2</v>
      </c>
      <c r="X11" s="9">
        <f>IFERROR(Datos_EUR_Paises!Y11/Datos_EUR_Paises!X11-1,"")</f>
        <v>2.3933062133817629E-2</v>
      </c>
      <c r="Y11" s="9">
        <f>IFERROR(Datos_EUR_Paises!Z11/Datos_EUR_Paises!Y11-1,"")</f>
        <v>3.0344148666364035E-2</v>
      </c>
      <c r="Z11" s="9">
        <f>IFERROR(Datos_EUR_Paises!AA11/Datos_EUR_Paises!Z11-1,"")</f>
        <v>5.1744021557996955E-2</v>
      </c>
      <c r="AA11" s="9">
        <f>IFERROR(Datos_EUR_Paises!AB11/Datos_EUR_Paises!AA11-1,"")</f>
        <v>4.379083473311951E-2</v>
      </c>
      <c r="AB11" s="9">
        <f>IFERROR(Datos_EUR_Paises!AC11/Datos_EUR_Paises!AB11-1,"")</f>
        <v>3.5052533238191019E-2</v>
      </c>
      <c r="AC11" s="9">
        <f>IFERROR(Datos_EUR_Paises!AD11/Datos_EUR_Paises!AC11-1,"")</f>
        <v>-4.0850009494290407E-2</v>
      </c>
      <c r="AD11" s="9">
        <f>IFERROR(Datos_EUR_Paises!AE11/Datos_EUR_Paises!AD11-1,"")</f>
        <v>8.4168645772533468E-2</v>
      </c>
      <c r="AE11" s="9">
        <f>IFERROR(Datos_EUR_Paises!AF11/Datos_EUR_Paises!AE11-1,"")</f>
        <v>2.6685055554247272E-2</v>
      </c>
      <c r="AF11" s="9">
        <f>IFERROR(Datos_EUR_Paises!AG11/Datos_EUR_Paises!AF11-1,"")</f>
        <v>2.3758326648385619E-2</v>
      </c>
      <c r="AG11" s="9">
        <f>IFERROR(Datos_EUR_Paises!AH11/Datos_EUR_Paises!AG11-1,"")</f>
        <v>1.7313972247948728E-2</v>
      </c>
    </row>
    <row r="12" spans="1:33" ht="15" customHeight="1" x14ac:dyDescent="0.35">
      <c r="A12" s="21" t="s">
        <v>74</v>
      </c>
      <c r="B12" s="11" t="s">
        <v>10</v>
      </c>
      <c r="C12" s="9">
        <f>IFERROR(Datos_EUR_Paises!D12/Datos_EUR_Paises!C12-1,"")</f>
        <v>2.3831953790890203E-2</v>
      </c>
      <c r="D12" s="9">
        <f>IFERROR(Datos_EUR_Paises!E12/Datos_EUR_Paises!D12-1,"")</f>
        <v>2.7574940029354122E-2</v>
      </c>
      <c r="E12" s="9">
        <f>IFERROR(Datos_EUR_Paises!F12/Datos_EUR_Paises!E12-1,"")</f>
        <v>2.6074111711023473E-2</v>
      </c>
      <c r="F12" s="9">
        <f>IFERROR(Datos_EUR_Paises!G12/Datos_EUR_Paises!F12-1,"")</f>
        <v>3.5872997235629533E-2</v>
      </c>
      <c r="G12" s="9">
        <f>IFERROR(Datos_EUR_Paises!H12/Datos_EUR_Paises!G12-1,"")</f>
        <v>4.3019774533358923E-2</v>
      </c>
      <c r="H12" s="9">
        <f>IFERROR(Datos_EUR_Paises!I12/Datos_EUR_Paises!H12-1,"")</f>
        <v>4.4088654530591409E-2</v>
      </c>
      <c r="I12" s="9">
        <f>IFERROR(Datos_EUR_Paises!J12/Datos_EUR_Paises!I12-1,"")</f>
        <v>5.200641255539451E-2</v>
      </c>
      <c r="J12" s="9">
        <f>IFERROR(Datos_EUR_Paises!K12/Datos_EUR_Paises!J12-1,"")</f>
        <v>3.9190888080886443E-2</v>
      </c>
      <c r="K12" s="9">
        <f>IFERROR(Datos_EUR_Paises!L12/Datos_EUR_Paises!K12-1,"")</f>
        <v>2.7554561156408974E-2</v>
      </c>
      <c r="L12" s="9">
        <f>IFERROR(Datos_EUR_Paises!M12/Datos_EUR_Paises!L12-1,"")</f>
        <v>2.9392895953074039E-2</v>
      </c>
      <c r="M12" s="9">
        <f>IFERROR(Datos_EUR_Paises!N12/Datos_EUR_Paises!M12-1,"")</f>
        <v>3.1145314799157608E-2</v>
      </c>
      <c r="N12" s="9">
        <f>IFERROR(Datos_EUR_Paises!O12/Datos_EUR_Paises!N12-1,"")</f>
        <v>3.551225584612272E-2</v>
      </c>
      <c r="O12" s="9">
        <f>IFERROR(Datos_EUR_Paises!P12/Datos_EUR_Paises!O12-1,"")</f>
        <v>4.0434351560515669E-2</v>
      </c>
      <c r="P12" s="9">
        <f>IFERROR(Datos_EUR_Paises!Q12/Datos_EUR_Paises!P12-1,"")</f>
        <v>3.533500131659606E-2</v>
      </c>
      <c r="Q12" s="9">
        <f>IFERROR(Datos_EUR_Paises!R12/Datos_EUR_Paises!Q12-1,"")</f>
        <v>7.6716574829052142E-3</v>
      </c>
      <c r="R12" s="9">
        <f>IFERROR(Datos_EUR_Paises!S12/Datos_EUR_Paises!R12-1,"")</f>
        <v>-3.7681330694008142E-2</v>
      </c>
      <c r="S12" s="9">
        <f>IFERROR(Datos_EUR_Paises!T12/Datos_EUR_Paises!S12-1,"")</f>
        <v>9.4122311637301337E-4</v>
      </c>
      <c r="T12" s="9">
        <f>IFERROR(Datos_EUR_Paises!U12/Datos_EUR_Paises!T12-1,"")</f>
        <v>-6.3992063652023035E-3</v>
      </c>
      <c r="U12" s="9">
        <f>IFERROR(Datos_EUR_Paises!V12/Datos_EUR_Paises!U12-1,"")</f>
        <v>-2.8651136863779958E-2</v>
      </c>
      <c r="V12" s="9">
        <f>IFERROR(Datos_EUR_Paises!W12/Datos_EUR_Paises!V12-1,"")</f>
        <v>-1.4273222475757241E-2</v>
      </c>
      <c r="W12" s="9">
        <f>IFERROR(Datos_EUR_Paises!X12/Datos_EUR_Paises!W12-1,"")</f>
        <v>1.5204859364721823E-2</v>
      </c>
      <c r="X12" s="9">
        <f>IFERROR(Datos_EUR_Paises!Y12/Datos_EUR_Paises!X12-1,"")</f>
        <v>4.0608667247382435E-2</v>
      </c>
      <c r="Y12" s="9">
        <f>IFERROR(Datos_EUR_Paises!Z12/Datos_EUR_Paises!Y12-1,"")</f>
        <v>2.9151559859582621E-2</v>
      </c>
      <c r="Z12" s="9">
        <f>IFERROR(Datos_EUR_Paises!AA12/Datos_EUR_Paises!Z12-1,"")</f>
        <v>2.8960420786497965E-2</v>
      </c>
      <c r="AA12" s="9">
        <f>IFERROR(Datos_EUR_Paises!AB12/Datos_EUR_Paises!AA12-1,"")</f>
        <v>2.3954112447893916E-2</v>
      </c>
      <c r="AB12" s="9">
        <f>IFERROR(Datos_EUR_Paises!AC12/Datos_EUR_Paises!AB12-1,"")</f>
        <v>1.9611785084167721E-2</v>
      </c>
      <c r="AC12" s="9">
        <f>IFERROR(Datos_EUR_Paises!AD12/Datos_EUR_Paises!AC12-1,"")</f>
        <v>-0.10940070635036925</v>
      </c>
      <c r="AD12" s="9">
        <f>IFERROR(Datos_EUR_Paises!AE12/Datos_EUR_Paises!AD12-1,"")</f>
        <v>6.683144204729996E-2</v>
      </c>
      <c r="AE12" s="9">
        <f>IFERROR(Datos_EUR_Paises!AF12/Datos_EUR_Paises!AE12-1,"")</f>
        <v>6.3703171212958543E-2</v>
      </c>
      <c r="AF12" s="9">
        <f>IFERROR(Datos_EUR_Paises!AG12/Datos_EUR_Paises!AF12-1,"")</f>
        <v>2.4608579680560405E-2</v>
      </c>
      <c r="AG12" s="9">
        <f>IFERROR(Datos_EUR_Paises!AH12/Datos_EUR_Paises!AG12-1,"")</f>
        <v>3.4552540563013379E-2</v>
      </c>
    </row>
    <row r="13" spans="1:33" ht="15" customHeight="1" x14ac:dyDescent="0.35">
      <c r="A13" s="21" t="s">
        <v>76</v>
      </c>
      <c r="B13" s="11" t="s">
        <v>10</v>
      </c>
      <c r="C13" s="9">
        <f>IFERROR(Datos_EUR_Paises!D13/Datos_EUR_Paises!C13-1,"")</f>
        <v>-1.6424246224988392E-2</v>
      </c>
      <c r="D13" s="9">
        <f>IFERROR(Datos_EUR_Paises!E13/Datos_EUR_Paises!D13-1,"")</f>
        <v>4.5266817921878033E-2</v>
      </c>
      <c r="E13" s="9">
        <f>IFERROR(Datos_EUR_Paises!F13/Datos_EUR_Paises!E13-1,"")</f>
        <v>4.9430122613182803E-2</v>
      </c>
      <c r="F13" s="9">
        <f>IFERROR(Datos_EUR_Paises!G13/Datos_EUR_Paises!F13-1,"")</f>
        <v>0.13050020704786247</v>
      </c>
      <c r="G13" s="9">
        <f>IFERROR(Datos_EUR_Paises!H13/Datos_EUR_Paises!G13-1,"")</f>
        <v>4.339827611935787E-2</v>
      </c>
      <c r="H13" s="9">
        <f>IFERROR(Datos_EUR_Paises!I13/Datos_EUR_Paises!H13-1,"")</f>
        <v>-4.2502537208640723E-3</v>
      </c>
      <c r="I13" s="9">
        <f>IFERROR(Datos_EUR_Paises!J13/Datos_EUR_Paises!I13-1,"")</f>
        <v>0.10087638580046443</v>
      </c>
      <c r="J13" s="9">
        <f>IFERROR(Datos_EUR_Paises!K13/Datos_EUR_Paises!J13-1,"")</f>
        <v>5.8807458953423319E-2</v>
      </c>
      <c r="K13" s="9">
        <f>IFERROR(Datos_EUR_Paises!L13/Datos_EUR_Paises!K13-1,"")</f>
        <v>6.9330008261660803E-2</v>
      </c>
      <c r="L13" s="9">
        <f>IFERROR(Datos_EUR_Paises!M13/Datos_EUR_Paises!L13-1,"")</f>
        <v>7.5963018103265556E-2</v>
      </c>
      <c r="M13" s="9">
        <f>IFERROR(Datos_EUR_Paises!N13/Datos_EUR_Paises!M13-1,"")</f>
        <v>6.8007011075864376E-2</v>
      </c>
      <c r="N13" s="9">
        <f>IFERROR(Datos_EUR_Paises!O13/Datos_EUR_Paises!N13-1,"")</f>
        <v>9.5230538646207341E-2</v>
      </c>
      <c r="O13" s="9">
        <f>IFERROR(Datos_EUR_Paises!P13/Datos_EUR_Paises!O13-1,"")</f>
        <v>9.7625713120663704E-2</v>
      </c>
      <c r="P13" s="9">
        <f>IFERROR(Datos_EUR_Paises!Q13/Datos_EUR_Paises!P13-1,"")</f>
        <v>7.5709187931185529E-2</v>
      </c>
      <c r="Q13" s="9">
        <f>IFERROR(Datos_EUR_Paises!R13/Datos_EUR_Paises!Q13-1,"")</f>
        <v>-5.125311543088007E-2</v>
      </c>
      <c r="R13" s="9">
        <f>IFERROR(Datos_EUR_Paises!S13/Datos_EUR_Paises!R13-1,"")</f>
        <v>-0.14630222542790494</v>
      </c>
      <c r="S13" s="9">
        <f>IFERROR(Datos_EUR_Paises!T13/Datos_EUR_Paises!S13-1,"")</f>
        <v>2.4497502063999921E-2</v>
      </c>
      <c r="T13" s="9">
        <f>IFERROR(Datos_EUR_Paises!U13/Datos_EUR_Paises!T13-1,"")</f>
        <v>7.6069745891313101E-2</v>
      </c>
      <c r="U13" s="9">
        <f>IFERROR(Datos_EUR_Paises!V13/Datos_EUR_Paises!U13-1,"")</f>
        <v>3.6720187250656622E-2</v>
      </c>
      <c r="V13" s="9">
        <f>IFERROR(Datos_EUR_Paises!W13/Datos_EUR_Paises!V13-1,"")</f>
        <v>1.7564937962188276E-2</v>
      </c>
      <c r="W13" s="9">
        <f>IFERROR(Datos_EUR_Paises!X13/Datos_EUR_Paises!W13-1,"")</f>
        <v>3.3227898818266599E-2</v>
      </c>
      <c r="X13" s="9">
        <f>IFERROR(Datos_EUR_Paises!Y13/Datos_EUR_Paises!X13-1,"")</f>
        <v>1.8381526288293148E-2</v>
      </c>
      <c r="Y13" s="9">
        <f>IFERROR(Datos_EUR_Paises!Z13/Datos_EUR_Paises!Y13-1,"")</f>
        <v>3.0930192075196539E-2</v>
      </c>
      <c r="Z13" s="9">
        <f>IFERROR(Datos_EUR_Paises!AA13/Datos_EUR_Paises!Z13-1,"")</f>
        <v>5.6346724896401135E-2</v>
      </c>
      <c r="AA13" s="9">
        <f>IFERROR(Datos_EUR_Paises!AB13/Datos_EUR_Paises!AA13-1,"")</f>
        <v>3.6996975616171879E-2</v>
      </c>
      <c r="AB13" s="9">
        <f>IFERROR(Datos_EUR_Paises!AC13/Datos_EUR_Paises!AB13-1,"")</f>
        <v>3.7266494346688939E-2</v>
      </c>
      <c r="AC13" s="9">
        <f>IFERROR(Datos_EUR_Paises!AD13/Datos_EUR_Paises!AC13-1,"")</f>
        <v>-2.883807514837966E-2</v>
      </c>
      <c r="AD13" s="9">
        <f>IFERROR(Datos_EUR_Paises!AE13/Datos_EUR_Paises!AD13-1,"")</f>
        <v>8.2548804458004499E-2</v>
      </c>
      <c r="AE13" s="9">
        <f>IFERROR(Datos_EUR_Paises!AF13/Datos_EUR_Paises!AE13-1,"")</f>
        <v>-1.2261696658779631E-2</v>
      </c>
      <c r="AF13" s="9">
        <f>IFERROR(Datos_EUR_Paises!AG13/Datos_EUR_Paises!AF13-1,"")</f>
        <v>-2.7442191457121901E-2</v>
      </c>
      <c r="AG13" s="9">
        <f>IFERROR(Datos_EUR_Paises!AH13/Datos_EUR_Paises!AG13-1,"")</f>
        <v>-9.0042864849626536E-4</v>
      </c>
    </row>
    <row r="14" spans="1:33" ht="15" customHeight="1" x14ac:dyDescent="0.35">
      <c r="A14" s="21" t="s">
        <v>78</v>
      </c>
      <c r="B14" s="11" t="s">
        <v>10</v>
      </c>
      <c r="C14" s="9">
        <f>IFERROR(Datos_EUR_Paises!D14/Datos_EUR_Paises!C14-1,"")</f>
        <v>3.9643728372676712E-2</v>
      </c>
      <c r="D14" s="9">
        <f>IFERROR(Datos_EUR_Paises!E14/Datos_EUR_Paises!D14-1,"")</f>
        <v>4.2343671018712614E-2</v>
      </c>
      <c r="E14" s="9">
        <f>IFERROR(Datos_EUR_Paises!F14/Datos_EUR_Paises!E14-1,"")</f>
        <v>3.6626571698716637E-2</v>
      </c>
      <c r="F14" s="9">
        <f>IFERROR(Datos_EUR_Paises!G14/Datos_EUR_Paises!F14-1,"")</f>
        <v>6.3977006840431505E-2</v>
      </c>
      <c r="G14" s="9">
        <f>IFERROR(Datos_EUR_Paises!H14/Datos_EUR_Paises!G14-1,"")</f>
        <v>5.4542702176545221E-2</v>
      </c>
      <c r="H14" s="9">
        <f>IFERROR(Datos_EUR_Paises!I14/Datos_EUR_Paises!H14-1,"")</f>
        <v>4.3892807037465786E-2</v>
      </c>
      <c r="I14" s="9">
        <f>IFERROR(Datos_EUR_Paises!J14/Datos_EUR_Paises!I14-1,"")</f>
        <v>5.7537377049886151E-2</v>
      </c>
      <c r="J14" s="9">
        <f>IFERROR(Datos_EUR_Paises!K14/Datos_EUR_Paises!J14-1,"")</f>
        <v>2.640262056993059E-2</v>
      </c>
      <c r="K14" s="9">
        <f>IFERROR(Datos_EUR_Paises!L14/Datos_EUR_Paises!K14-1,"")</f>
        <v>1.6873264435810498E-2</v>
      </c>
      <c r="L14" s="9">
        <f>IFERROR(Datos_EUR_Paises!M14/Datos_EUR_Paises!L14-1,"")</f>
        <v>2.0117999273832954E-2</v>
      </c>
      <c r="M14" s="9">
        <f>IFERROR(Datos_EUR_Paises!N14/Datos_EUR_Paises!M14-1,"")</f>
        <v>4.0053795227763977E-2</v>
      </c>
      <c r="N14" s="9">
        <f>IFERROR(Datos_EUR_Paises!O14/Datos_EUR_Paises!N14-1,"")</f>
        <v>2.7773091851801324E-2</v>
      </c>
      <c r="O14" s="9">
        <f>IFERROR(Datos_EUR_Paises!P14/Datos_EUR_Paises!O14-1,"")</f>
        <v>4.0195732651589822E-2</v>
      </c>
      <c r="P14" s="9">
        <f>IFERROR(Datos_EUR_Paises!Q14/Datos_EUR_Paises!P14-1,"")</f>
        <v>5.3128017669413996E-2</v>
      </c>
      <c r="Q14" s="9">
        <f>IFERROR(Datos_EUR_Paises!R14/Datos_EUR_Paises!Q14-1,"")</f>
        <v>7.8443123571712015E-3</v>
      </c>
      <c r="R14" s="9">
        <f>IFERROR(Datos_EUR_Paises!S14/Datos_EUR_Paises!R14-1,"")</f>
        <v>-8.0760311655241002E-2</v>
      </c>
      <c r="S14" s="9">
        <f>IFERROR(Datos_EUR_Paises!T14/Datos_EUR_Paises!S14-1,"")</f>
        <v>3.1682879121623486E-2</v>
      </c>
      <c r="T14" s="9">
        <f>IFERROR(Datos_EUR_Paises!U14/Datos_EUR_Paises!T14-1,"")</f>
        <v>2.390394553968167E-2</v>
      </c>
      <c r="U14" s="9">
        <f>IFERROR(Datos_EUR_Paises!V14/Datos_EUR_Paises!U14-1,"")</f>
        <v>-1.5228401304068662E-2</v>
      </c>
      <c r="V14" s="9">
        <f>IFERROR(Datos_EUR_Paises!W14/Datos_EUR_Paises!V14-1,"")</f>
        <v>-9.7974102494978732E-3</v>
      </c>
      <c r="W14" s="9">
        <f>IFERROR(Datos_EUR_Paises!X14/Datos_EUR_Paises!W14-1,"")</f>
        <v>-4.7806842478339551E-3</v>
      </c>
      <c r="X14" s="9">
        <f>IFERROR(Datos_EUR_Paises!Y14/Datos_EUR_Paises!X14-1,"")</f>
        <v>4.6650376632255686E-3</v>
      </c>
      <c r="Y14" s="9">
        <f>IFERROR(Datos_EUR_Paises!Z14/Datos_EUR_Paises!Y14-1,"")</f>
        <v>2.5719341489872871E-2</v>
      </c>
      <c r="Z14" s="9">
        <f>IFERROR(Datos_EUR_Paises!AA14/Datos_EUR_Paises!Z14-1,"")</f>
        <v>3.3033700359107909E-2</v>
      </c>
      <c r="AA14" s="9">
        <f>IFERROR(Datos_EUR_Paises!AB14/Datos_EUR_Paises!AA14-1,"")</f>
        <v>1.1929775974225842E-2</v>
      </c>
      <c r="AB14" s="9">
        <f>IFERROR(Datos_EUR_Paises!AC14/Datos_EUR_Paises!AB14-1,"")</f>
        <v>1.349738457417593E-2</v>
      </c>
      <c r="AC14" s="9">
        <f>IFERROR(Datos_EUR_Paises!AD14/Datos_EUR_Paises!AC14-1,"")</f>
        <v>-2.4910360553570543E-2</v>
      </c>
      <c r="AD14" s="9">
        <f>IFERROR(Datos_EUR_Paises!AE14/Datos_EUR_Paises!AD14-1,"")</f>
        <v>2.6763464149888616E-2</v>
      </c>
      <c r="AE14" s="9">
        <f>IFERROR(Datos_EUR_Paises!AF14/Datos_EUR_Paises!AE14-1,"")</f>
        <v>7.6304191276341804E-3</v>
      </c>
      <c r="AF14" s="9">
        <f>IFERROR(Datos_EUR_Paises!AG14/Datos_EUR_Paises!AF14-1,"")</f>
        <v>-9.390934596136602E-3</v>
      </c>
      <c r="AG14" s="9">
        <f>IFERROR(Datos_EUR_Paises!AH14/Datos_EUR_Paises!AG14-1,"")</f>
        <v>4.1617196486227748E-3</v>
      </c>
    </row>
    <row r="15" spans="1:33" ht="15" customHeight="1" x14ac:dyDescent="0.35">
      <c r="A15" s="21" t="s">
        <v>80</v>
      </c>
      <c r="B15" s="11" t="s">
        <v>10</v>
      </c>
      <c r="C15" s="9">
        <f>IFERROR(Datos_EUR_Paises!D15/Datos_EUR_Paises!C15-1,"")</f>
        <v>2.3836608611017551E-2</v>
      </c>
      <c r="D15" s="9">
        <f>IFERROR(Datos_EUR_Paises!E15/Datos_EUR_Paises!D15-1,"")</f>
        <v>2.3047927839221272E-2</v>
      </c>
      <c r="E15" s="9">
        <f>IFERROR(Datos_EUR_Paises!F15/Datos_EUR_Paises!E15-1,"")</f>
        <v>1.3970798719889821E-2</v>
      </c>
      <c r="F15" s="9">
        <f>IFERROR(Datos_EUR_Paises!G15/Datos_EUR_Paises!F15-1,"")</f>
        <v>2.5270616339355678E-2</v>
      </c>
      <c r="G15" s="9">
        <f>IFERROR(Datos_EUR_Paises!H15/Datos_EUR_Paises!G15-1,"")</f>
        <v>3.4525943427961003E-2</v>
      </c>
      <c r="H15" s="9">
        <f>IFERROR(Datos_EUR_Paises!I15/Datos_EUR_Paises!H15-1,"")</f>
        <v>3.3993080880948767E-2</v>
      </c>
      <c r="I15" s="9">
        <f>IFERROR(Datos_EUR_Paises!J15/Datos_EUR_Paises!I15-1,"")</f>
        <v>4.1409999640289907E-2</v>
      </c>
      <c r="J15" s="9">
        <f>IFERROR(Datos_EUR_Paises!K15/Datos_EUR_Paises!J15-1,"")</f>
        <v>1.8994670118661627E-2</v>
      </c>
      <c r="K15" s="9">
        <f>IFERROR(Datos_EUR_Paises!L15/Datos_EUR_Paises!K15-1,"")</f>
        <v>1.0677502706942787E-2</v>
      </c>
      <c r="L15" s="9">
        <f>IFERROR(Datos_EUR_Paises!M15/Datos_EUR_Paises!L15-1,"")</f>
        <v>9.6782718255841171E-3</v>
      </c>
      <c r="M15" s="9">
        <f>IFERROR(Datos_EUR_Paises!N15/Datos_EUR_Paises!M15-1,"")</f>
        <v>2.8682505250100743E-2</v>
      </c>
      <c r="N15" s="9">
        <f>IFERROR(Datos_EUR_Paises!O15/Datos_EUR_Paises!N15-1,"")</f>
        <v>1.8885658410928707E-2</v>
      </c>
      <c r="O15" s="9">
        <f>IFERROR(Datos_EUR_Paises!P15/Datos_EUR_Paises!O15-1,"")</f>
        <v>2.7140644875523812E-2</v>
      </c>
      <c r="P15" s="9">
        <f>IFERROR(Datos_EUR_Paises!Q15/Datos_EUR_Paises!P15-1,"")</f>
        <v>2.5304818835109488E-2</v>
      </c>
      <c r="Q15" s="9">
        <f>IFERROR(Datos_EUR_Paises!R15/Datos_EUR_Paises!Q15-1,"")</f>
        <v>3.8017143584918589E-3</v>
      </c>
      <c r="R15" s="9">
        <f>IFERROR(Datos_EUR_Paises!S15/Datos_EUR_Paises!R15-1,"")</f>
        <v>-2.8245515371481567E-2</v>
      </c>
      <c r="S15" s="9">
        <f>IFERROR(Datos_EUR_Paises!T15/Datos_EUR_Paises!S15-1,"")</f>
        <v>2.0003247603907148E-2</v>
      </c>
      <c r="T15" s="9">
        <f>IFERROR(Datos_EUR_Paises!U15/Datos_EUR_Paises!T15-1,"")</f>
        <v>2.4375765372900871E-2</v>
      </c>
      <c r="U15" s="9">
        <f>IFERROR(Datos_EUR_Paises!V15/Datos_EUR_Paises!U15-1,"")</f>
        <v>1.8383526497296465E-3</v>
      </c>
      <c r="V15" s="9">
        <f>IFERROR(Datos_EUR_Paises!W15/Datos_EUR_Paises!V15-1,"")</f>
        <v>7.8175644623095231E-3</v>
      </c>
      <c r="W15" s="9">
        <f>IFERROR(Datos_EUR_Paises!X15/Datos_EUR_Paises!W15-1,"")</f>
        <v>9.9783294729554051E-3</v>
      </c>
      <c r="X15" s="9">
        <f>IFERROR(Datos_EUR_Paises!Y15/Datos_EUR_Paises!X15-1,"")</f>
        <v>1.0667547478344863E-2</v>
      </c>
      <c r="Y15" s="9">
        <f>IFERROR(Datos_EUR_Paises!Z15/Datos_EUR_Paises!Y15-1,"")</f>
        <v>8.6003107542380608E-3</v>
      </c>
      <c r="Z15" s="9">
        <f>IFERROR(Datos_EUR_Paises!AA15/Datos_EUR_Paises!Z15-1,"")</f>
        <v>2.0836148599740145E-2</v>
      </c>
      <c r="AA15" s="9">
        <f>IFERROR(Datos_EUR_Paises!AB15/Datos_EUR_Paises!AA15-1,"")</f>
        <v>1.6459087239588444E-2</v>
      </c>
      <c r="AB15" s="9">
        <f>IFERROR(Datos_EUR_Paises!AC15/Datos_EUR_Paises!AB15-1,"")</f>
        <v>2.0274464641925727E-2</v>
      </c>
      <c r="AC15" s="9">
        <f>IFERROR(Datos_EUR_Paises!AD15/Datos_EUR_Paises!AC15-1,"")</f>
        <v>-7.4406458994821678E-2</v>
      </c>
      <c r="AD15" s="9">
        <f>IFERROR(Datos_EUR_Paises!AE15/Datos_EUR_Paises!AD15-1,"")</f>
        <v>6.8823378336023255E-2</v>
      </c>
      <c r="AE15" s="9">
        <f>IFERROR(Datos_EUR_Paises!AF15/Datos_EUR_Paises!AE15-1,"")</f>
        <v>2.716762641858872E-2</v>
      </c>
      <c r="AF15" s="9">
        <f>IFERROR(Datos_EUR_Paises!AG15/Datos_EUR_Paises!AF15-1,"")</f>
        <v>1.4392149443777313E-2</v>
      </c>
      <c r="AG15" s="9">
        <f>IFERROR(Datos_EUR_Paises!AH15/Datos_EUR_Paises!AG15-1,"")</f>
        <v>1.1904679827587472E-2</v>
      </c>
    </row>
    <row r="16" spans="1:33" ht="15" customHeight="1" x14ac:dyDescent="0.35">
      <c r="A16" s="21" t="s">
        <v>82</v>
      </c>
      <c r="B16" s="11" t="s">
        <v>10</v>
      </c>
      <c r="C16" s="9">
        <f>IFERROR(Datos_EUR_Paises!D16/Datos_EUR_Paises!C16-1,"")</f>
        <v>1.9999998472478797E-2</v>
      </c>
      <c r="D16" s="9">
        <f>IFERROR(Datos_EUR_Paises!E16/Datos_EUR_Paises!D16-1,"")</f>
        <v>2.0997195323528839E-2</v>
      </c>
      <c r="E16" s="9">
        <f>IFERROR(Datos_EUR_Paises!F16/Datos_EUR_Paises!E16-1,"")</f>
        <v>1.3824705732585763E-2</v>
      </c>
      <c r="F16" s="9">
        <f>IFERROR(Datos_EUR_Paises!G16/Datos_EUR_Paises!F16-1,"")</f>
        <v>3.6028832651615827E-2</v>
      </c>
      <c r="G16" s="9">
        <f>IFERROR(Datos_EUR_Paises!H16/Datos_EUR_Paises!G16-1,"")</f>
        <v>3.4369357966130165E-2</v>
      </c>
      <c r="H16" s="9">
        <f>IFERROR(Datos_EUR_Paises!I16/Datos_EUR_Paises!H16-1,"")</f>
        <v>2.6587856232121121E-2</v>
      </c>
      <c r="I16" s="9">
        <f>IFERROR(Datos_EUR_Paises!J16/Datos_EUR_Paises!I16-1,"")</f>
        <v>4.1378269940581358E-2</v>
      </c>
      <c r="J16" s="9">
        <f>IFERROR(Datos_EUR_Paises!K16/Datos_EUR_Paises!J16-1,"")</f>
        <v>4.6504145944217701E-2</v>
      </c>
      <c r="K16" s="9">
        <f>IFERROR(Datos_EUR_Paises!L16/Datos_EUR_Paises!K16-1,"")</f>
        <v>4.6831372706303442E-2</v>
      </c>
      <c r="L16" s="9">
        <f>IFERROR(Datos_EUR_Paises!M16/Datos_EUR_Paises!L16-1,"")</f>
        <v>5.7968227429436192E-2</v>
      </c>
      <c r="M16" s="9">
        <f>IFERROR(Datos_EUR_Paises!N16/Datos_EUR_Paises!M16-1,"")</f>
        <v>5.3778663459583598E-2</v>
      </c>
      <c r="N16" s="9">
        <f>IFERROR(Datos_EUR_Paises!O16/Datos_EUR_Paises!N16-1,"")</f>
        <v>1.1835063549329616E-2</v>
      </c>
      <c r="O16" s="9">
        <f>IFERROR(Datos_EUR_Paises!P16/Datos_EUR_Paises!O16-1,"")</f>
        <v>6.4433976248741365E-2</v>
      </c>
      <c r="P16" s="9">
        <f>IFERROR(Datos_EUR_Paises!Q16/Datos_EUR_Paises!P16-1,"")</f>
        <v>3.5068697663946047E-2</v>
      </c>
      <c r="Q16" s="9">
        <f>IFERROR(Datos_EUR_Paises!R16/Datos_EUR_Paises!Q16-1,"")</f>
        <v>5.7474023820125453E-4</v>
      </c>
      <c r="R16" s="9">
        <f>IFERROR(Datos_EUR_Paises!S16/Datos_EUR_Paises!R16-1,"")</f>
        <v>-4.1192760671498685E-2</v>
      </c>
      <c r="S16" s="9">
        <f>IFERROR(Datos_EUR_Paises!T16/Datos_EUR_Paises!S16-1,"")</f>
        <v>-5.6937412158003409E-2</v>
      </c>
      <c r="T16" s="9">
        <f>IFERROR(Datos_EUR_Paises!U16/Datos_EUR_Paises!T16-1,"")</f>
        <v>-9.8767787530024687E-2</v>
      </c>
      <c r="U16" s="9">
        <f>IFERROR(Datos_EUR_Paises!V16/Datos_EUR_Paises!U16-1,"")</f>
        <v>-8.3311342110001796E-2</v>
      </c>
      <c r="V16" s="9">
        <f>IFERROR(Datos_EUR_Paises!W16/Datos_EUR_Paises!V16-1,"")</f>
        <v>-2.2721169988801471E-2</v>
      </c>
      <c r="W16" s="9">
        <f>IFERROR(Datos_EUR_Paises!X16/Datos_EUR_Paises!W16-1,"")</f>
        <v>7.9222506096308098E-3</v>
      </c>
      <c r="X16" s="9">
        <f>IFERROR(Datos_EUR_Paises!Y16/Datos_EUR_Paises!X16-1,"")</f>
        <v>-2.2830189217303287E-3</v>
      </c>
      <c r="Y16" s="9">
        <f>IFERROR(Datos_EUR_Paises!Z16/Datos_EUR_Paises!Y16-1,"")</f>
        <v>-3.1794767841364369E-4</v>
      </c>
      <c r="Z16" s="9">
        <f>IFERROR(Datos_EUR_Paises!AA16/Datos_EUR_Paises!Z16-1,"")</f>
        <v>1.4731247270239445E-2</v>
      </c>
      <c r="AA16" s="9">
        <f>IFERROR(Datos_EUR_Paises!AB16/Datos_EUR_Paises!AA16-1,"")</f>
        <v>2.0646720789240458E-2</v>
      </c>
      <c r="AB16" s="9">
        <f>IFERROR(Datos_EUR_Paises!AC16/Datos_EUR_Paises!AB16-1,"")</f>
        <v>2.2771806533480543E-2</v>
      </c>
      <c r="AC16" s="9">
        <f>IFERROR(Datos_EUR_Paises!AD16/Datos_EUR_Paises!AC16-1,"")</f>
        <v>-9.1962314972698356E-2</v>
      </c>
      <c r="AD16" s="9">
        <f>IFERROR(Datos_EUR_Paises!AE16/Datos_EUR_Paises!AD16-1,"")</f>
        <v>8.6544978600210154E-2</v>
      </c>
      <c r="AE16" s="9">
        <f>IFERROR(Datos_EUR_Paises!AF16/Datos_EUR_Paises!AE16-1,"")</f>
        <v>5.5219858058942251E-2</v>
      </c>
      <c r="AF16" s="9">
        <f>IFERROR(Datos_EUR_Paises!AG16/Datos_EUR_Paises!AF16-1,"")</f>
        <v>2.1359113199664437E-2</v>
      </c>
      <c r="AG16" s="9">
        <f>IFERROR(Datos_EUR_Paises!AH16/Datos_EUR_Paises!AG16-1,"")</f>
        <v>2.0865743380601653E-2</v>
      </c>
    </row>
    <row r="17" spans="1:33" ht="15" customHeight="1" x14ac:dyDescent="0.35">
      <c r="A17" s="21" t="s">
        <v>84</v>
      </c>
      <c r="B17" s="11" t="s">
        <v>10</v>
      </c>
      <c r="C17" s="9">
        <f>IFERROR(Datos_EUR_Paises!D17/Datos_EUR_Paises!C17-1,"")</f>
        <v>5.7558279706160898E-2</v>
      </c>
      <c r="D17" s="9">
        <f>IFERROR(Datos_EUR_Paises!E17/Datos_EUR_Paises!D17-1,"")</f>
        <v>9.6344213655899624E-2</v>
      </c>
      <c r="E17" s="9">
        <f>IFERROR(Datos_EUR_Paises!F17/Datos_EUR_Paises!E17-1,"")</f>
        <v>7.379624657659245E-2</v>
      </c>
      <c r="F17" s="9">
        <f>IFERROR(Datos_EUR_Paises!G17/Datos_EUR_Paises!F17-1,"")</f>
        <v>0.11021765082343116</v>
      </c>
      <c r="G17" s="9">
        <f>IFERROR(Datos_EUR_Paises!H17/Datos_EUR_Paises!G17-1,"")</f>
        <v>8.7661226571212669E-2</v>
      </c>
      <c r="H17" s="9">
        <f>IFERROR(Datos_EUR_Paises!I17/Datos_EUR_Paises!H17-1,"")</f>
        <v>0.10529885642706738</v>
      </c>
      <c r="I17" s="9">
        <f>IFERROR(Datos_EUR_Paises!J17/Datos_EUR_Paises!I17-1,"")</f>
        <v>9.4035247639961517E-2</v>
      </c>
      <c r="J17" s="9">
        <f>IFERROR(Datos_EUR_Paises!K17/Datos_EUR_Paises!J17-1,"")</f>
        <v>5.3058213351429462E-2</v>
      </c>
      <c r="K17" s="9">
        <f>IFERROR(Datos_EUR_Paises!L17/Datos_EUR_Paises!K17-1,"")</f>
        <v>5.899365060790096E-2</v>
      </c>
      <c r="L17" s="9">
        <f>IFERROR(Datos_EUR_Paises!M17/Datos_EUR_Paises!L17-1,"")</f>
        <v>3.0138386939600581E-2</v>
      </c>
      <c r="M17" s="9">
        <f>IFERROR(Datos_EUR_Paises!N17/Datos_EUR_Paises!M17-1,"")</f>
        <v>6.7881399062137193E-2</v>
      </c>
      <c r="N17" s="9">
        <f>IFERROR(Datos_EUR_Paises!O17/Datos_EUR_Paises!N17-1,"")</f>
        <v>5.7397820262527155E-2</v>
      </c>
      <c r="O17" s="9">
        <f>IFERROR(Datos_EUR_Paises!P17/Datos_EUR_Paises!O17-1,"")</f>
        <v>4.9878536453764832E-2</v>
      </c>
      <c r="P17" s="9">
        <f>IFERROR(Datos_EUR_Paises!Q17/Datos_EUR_Paises!P17-1,"")</f>
        <v>5.3101183089860449E-2</v>
      </c>
      <c r="Q17" s="9">
        <f>IFERROR(Datos_EUR_Paises!R17/Datos_EUR_Paises!Q17-1,"")</f>
        <v>-4.4840708104307625E-2</v>
      </c>
      <c r="R17" s="9">
        <f>IFERROR(Datos_EUR_Paises!S17/Datos_EUR_Paises!R17-1,"")</f>
        <v>-5.0957827791381916E-2</v>
      </c>
      <c r="S17" s="9">
        <f>IFERROR(Datos_EUR_Paises!T17/Datos_EUR_Paises!S17-1,"")</f>
        <v>1.6829717548648038E-2</v>
      </c>
      <c r="T17" s="9">
        <f>IFERROR(Datos_EUR_Paises!U17/Datos_EUR_Paises!T17-1,"")</f>
        <v>1.6088664891696469E-2</v>
      </c>
      <c r="U17" s="9">
        <f>IFERROR(Datos_EUR_Paises!V17/Datos_EUR_Paises!U17-1,"")</f>
        <v>-4.0502941659008584E-3</v>
      </c>
      <c r="V17" s="9">
        <f>IFERROR(Datos_EUR_Paises!W17/Datos_EUR_Paises!V17-1,"")</f>
        <v>2.1929375750031621E-2</v>
      </c>
      <c r="W17" s="9">
        <f>IFERROR(Datos_EUR_Paises!X17/Datos_EUR_Paises!W17-1,"")</f>
        <v>9.385793351309113E-2</v>
      </c>
      <c r="X17" s="9">
        <f>IFERROR(Datos_EUR_Paises!Y17/Datos_EUR_Paises!X17-1,"")</f>
        <v>0.24623985636400825</v>
      </c>
      <c r="Y17" s="9">
        <f>IFERROR(Datos_EUR_Paises!Z17/Datos_EUR_Paises!Y17-1,"")</f>
        <v>1.2227166113094601E-2</v>
      </c>
      <c r="Z17" s="9">
        <f>IFERROR(Datos_EUR_Paises!AA17/Datos_EUR_Paises!Z17-1,"")</f>
        <v>0.101088576065965</v>
      </c>
      <c r="AA17" s="9">
        <f>IFERROR(Datos_EUR_Paises!AB17/Datos_EUR_Paises!AA17-1,"")</f>
        <v>7.6886593743743514E-2</v>
      </c>
      <c r="AB17" s="9">
        <f>IFERROR(Datos_EUR_Paises!AC17/Datos_EUR_Paises!AB17-1,"")</f>
        <v>4.9728800376679594E-2</v>
      </c>
      <c r="AC17" s="9">
        <f>IFERROR(Datos_EUR_Paises!AD17/Datos_EUR_Paises!AC17-1,"")</f>
        <v>7.1536950573535707E-2</v>
      </c>
      <c r="AD17" s="9">
        <f>IFERROR(Datos_EUR_Paises!AE17/Datos_EUR_Paises!AD17-1,"")</f>
        <v>0.16258188115819516</v>
      </c>
      <c r="AE17" s="9">
        <f>IFERROR(Datos_EUR_Paises!AF17/Datos_EUR_Paises!AE17-1,"")</f>
        <v>7.5111388841531124E-2</v>
      </c>
      <c r="AF17" s="9">
        <f>IFERROR(Datos_EUR_Paises!AG17/Datos_EUR_Paises!AF17-1,"")</f>
        <v>-2.5363740931326317E-2</v>
      </c>
      <c r="AG17" s="9">
        <f>IFERROR(Datos_EUR_Paises!AH17/Datos_EUR_Paises!AG17-1,"")</f>
        <v>2.5994672155371878E-2</v>
      </c>
    </row>
    <row r="18" spans="1:33" ht="15" customHeight="1" x14ac:dyDescent="0.35">
      <c r="A18" s="21" t="s">
        <v>86</v>
      </c>
      <c r="B18" s="11" t="s">
        <v>10</v>
      </c>
      <c r="C18" s="9">
        <f>IFERROR(Datos_EUR_Paises!D18/Datos_EUR_Paises!C18-1,"")</f>
        <v>2.1510236707484198E-2</v>
      </c>
      <c r="D18" s="9">
        <f>IFERROR(Datos_EUR_Paises!E18/Datos_EUR_Paises!D18-1,"")</f>
        <v>2.8868367192584676E-2</v>
      </c>
      <c r="E18" s="9">
        <f>IFERROR(Datos_EUR_Paises!F18/Datos_EUR_Paises!E18-1,"")</f>
        <v>1.3455847719282099E-2</v>
      </c>
      <c r="F18" s="9">
        <f>IFERROR(Datos_EUR_Paises!G18/Datos_EUR_Paises!F18-1,"")</f>
        <v>1.9257212260854972E-2</v>
      </c>
      <c r="G18" s="9">
        <f>IFERROR(Datos_EUR_Paises!H18/Datos_EUR_Paises!G18-1,"")</f>
        <v>1.8043732818634028E-2</v>
      </c>
      <c r="H18" s="9">
        <f>IFERROR(Datos_EUR_Paises!I18/Datos_EUR_Paises!H18-1,"")</f>
        <v>1.6779915794347122E-2</v>
      </c>
      <c r="I18" s="9">
        <f>IFERROR(Datos_EUR_Paises!J18/Datos_EUR_Paises!I18-1,"")</f>
        <v>3.8820988506262699E-2</v>
      </c>
      <c r="J18" s="9">
        <f>IFERROR(Datos_EUR_Paises!K18/Datos_EUR_Paises!J18-1,"")</f>
        <v>2.0064332983775968E-2</v>
      </c>
      <c r="K18" s="9">
        <f>IFERROR(Datos_EUR_Paises!L18/Datos_EUR_Paises!K18-1,"")</f>
        <v>2.6992966378833749E-3</v>
      </c>
      <c r="L18" s="9">
        <f>IFERROR(Datos_EUR_Paises!M18/Datos_EUR_Paises!L18-1,"")</f>
        <v>6.6553808873304199E-4</v>
      </c>
      <c r="M18" s="9">
        <f>IFERROR(Datos_EUR_Paises!N18/Datos_EUR_Paises!M18-1,"")</f>
        <v>1.4740217064722616E-2</v>
      </c>
      <c r="N18" s="9">
        <f>IFERROR(Datos_EUR_Paises!O18/Datos_EUR_Paises!N18-1,"")</f>
        <v>7.6241067730646872E-3</v>
      </c>
      <c r="O18" s="9">
        <f>IFERROR(Datos_EUR_Paises!P18/Datos_EUR_Paises!O18-1,"")</f>
        <v>1.7994799223426616E-2</v>
      </c>
      <c r="P18" s="9">
        <f>IFERROR(Datos_EUR_Paises!Q18/Datos_EUR_Paises!P18-1,"")</f>
        <v>1.4622920528929217E-2</v>
      </c>
      <c r="Q18" s="9">
        <f>IFERROR(Datos_EUR_Paises!R18/Datos_EUR_Paises!Q18-1,"")</f>
        <v>-1.0231385117712044E-2</v>
      </c>
      <c r="R18" s="9">
        <f>IFERROR(Datos_EUR_Paises!S18/Datos_EUR_Paises!R18-1,"")</f>
        <v>-5.3051540123395635E-2</v>
      </c>
      <c r="S18" s="9">
        <f>IFERROR(Datos_EUR_Paises!T18/Datos_EUR_Paises!S18-1,"")</f>
        <v>1.5291057324707813E-2</v>
      </c>
      <c r="T18" s="9">
        <f>IFERROR(Datos_EUR_Paises!U18/Datos_EUR_Paises!T18-1,"")</f>
        <v>6.9546315444004581E-3</v>
      </c>
      <c r="U18" s="9">
        <f>IFERROR(Datos_EUR_Paises!V18/Datos_EUR_Paises!U18-1,"")</f>
        <v>-3.1252387728296527E-2</v>
      </c>
      <c r="V18" s="9">
        <f>IFERROR(Datos_EUR_Paises!W18/Datos_EUR_Paises!V18-1,"")</f>
        <v>-1.8180251074981446E-2</v>
      </c>
      <c r="W18" s="9">
        <f>IFERROR(Datos_EUR_Paises!X18/Datos_EUR_Paises!W18-1,"")</f>
        <v>-1.3876173045712648E-5</v>
      </c>
      <c r="X18" s="9">
        <f>IFERROR(Datos_EUR_Paises!Y18/Datos_EUR_Paises!X18-1,"")</f>
        <v>8.856676352408499E-3</v>
      </c>
      <c r="Y18" s="9">
        <f>IFERROR(Datos_EUR_Paises!Z18/Datos_EUR_Paises!Y18-1,"")</f>
        <v>1.2362210851168731E-2</v>
      </c>
      <c r="Z18" s="9">
        <f>IFERROR(Datos_EUR_Paises!AA18/Datos_EUR_Paises!Z18-1,"")</f>
        <v>1.6036999529406071E-2</v>
      </c>
      <c r="AA18" s="9">
        <f>IFERROR(Datos_EUR_Paises!AB18/Datos_EUR_Paises!AA18-1,"")</f>
        <v>8.2664671234418119E-3</v>
      </c>
      <c r="AB18" s="9">
        <f>IFERROR(Datos_EUR_Paises!AC18/Datos_EUR_Paises!AB18-1,"")</f>
        <v>4.2916253378038061E-3</v>
      </c>
      <c r="AC18" s="9">
        <f>IFERROR(Datos_EUR_Paises!AD18/Datos_EUR_Paises!AC18-1,"")</f>
        <v>-8.8682212218533341E-2</v>
      </c>
      <c r="AD18" s="9">
        <f>IFERROR(Datos_EUR_Paises!AE18/Datos_EUR_Paises!AD18-1,"")</f>
        <v>8.9310621080005204E-2</v>
      </c>
      <c r="AE18" s="9">
        <f>IFERROR(Datos_EUR_Paises!AF18/Datos_EUR_Paises!AE18-1,"")</f>
        <v>4.8211766991357763E-2</v>
      </c>
      <c r="AF18" s="9">
        <f>IFERROR(Datos_EUR_Paises!AG18/Datos_EUR_Paises!AF18-1,"")</f>
        <v>9.7569484012673957E-3</v>
      </c>
      <c r="AG18" s="9">
        <f>IFERROR(Datos_EUR_Paises!AH18/Datos_EUR_Paises!AG18-1,"")</f>
        <v>6.9267694844059591E-3</v>
      </c>
    </row>
    <row r="19" spans="1:33" ht="15" customHeight="1" x14ac:dyDescent="0.35">
      <c r="A19" s="21" t="s">
        <v>88</v>
      </c>
      <c r="B19" s="11" t="s">
        <v>10</v>
      </c>
      <c r="C19" s="9">
        <f>IFERROR(Datos_EUR_Paises!D19/Datos_EUR_Paises!C19-1,"")</f>
        <v>2.189911786527321E-2</v>
      </c>
      <c r="D19" s="9">
        <f>IFERROR(Datos_EUR_Paises!E19/Datos_EUR_Paises!D19-1,"")</f>
        <v>-9.4476063435926516E-3</v>
      </c>
      <c r="E19" s="9">
        <f>IFERROR(Datos_EUR_Paises!F19/Datos_EUR_Paises!E19-1,"")</f>
        <v>2.2999610380240787E-2</v>
      </c>
      <c r="F19" s="9">
        <f>IFERROR(Datos_EUR_Paises!G19/Datos_EUR_Paises!F19-1,"")</f>
        <v>9.1714763407209965E-2</v>
      </c>
      <c r="G19" s="9">
        <f>IFERROR(Datos_EUR_Paises!H19/Datos_EUR_Paises!G19-1,"")</f>
        <v>6.5500026475630913E-2</v>
      </c>
      <c r="H19" s="9">
        <f>IFERROR(Datos_EUR_Paises!I19/Datos_EUR_Paises!H19-1,"")</f>
        <v>2.8184045594495277E-2</v>
      </c>
      <c r="I19" s="9">
        <f>IFERROR(Datos_EUR_Paises!J19/Datos_EUR_Paises!I19-1,"")</f>
        <v>5.84102642354003E-2</v>
      </c>
      <c r="J19" s="9">
        <f>IFERROR(Datos_EUR_Paises!K19/Datos_EUR_Paises!J19-1,"")</f>
        <v>6.4605782672725987E-2</v>
      </c>
      <c r="K19" s="9">
        <f>IFERROR(Datos_EUR_Paises!L19/Datos_EUR_Paises!K19-1,"")</f>
        <v>7.665487785869729E-2</v>
      </c>
      <c r="L19" s="9">
        <f>IFERROR(Datos_EUR_Paises!M19/Datos_EUR_Paises!L19-1,"")</f>
        <v>8.4291325705911468E-2</v>
      </c>
      <c r="M19" s="9">
        <f>IFERROR(Datos_EUR_Paises!N19/Datos_EUR_Paises!M19-1,"")</f>
        <v>8.7251434172790576E-2</v>
      </c>
      <c r="N19" s="9">
        <f>IFERROR(Datos_EUR_Paises!O19/Datos_EUR_Paises!N19-1,"")</f>
        <v>0.11615317855745722</v>
      </c>
      <c r="O19" s="9">
        <f>IFERROR(Datos_EUR_Paises!P19/Datos_EUR_Paises!O19-1,"")</f>
        <v>0.12825017846905129</v>
      </c>
      <c r="P19" s="9">
        <f>IFERROR(Datos_EUR_Paises!Q19/Datos_EUR_Paises!P19-1,"")</f>
        <v>0.10414537279271641</v>
      </c>
      <c r="Q19" s="9">
        <f>IFERROR(Datos_EUR_Paises!R19/Datos_EUR_Paises!Q19-1,"")</f>
        <v>-3.3887166584998352E-2</v>
      </c>
      <c r="R19" s="9">
        <f>IFERROR(Datos_EUR_Paises!S19/Datos_EUR_Paises!R19-1,"")</f>
        <v>-0.16040019531304184</v>
      </c>
      <c r="S19" s="9">
        <f>IFERROR(Datos_EUR_Paises!T19/Datos_EUR_Paises!S19-1,"")</f>
        <v>-3.6612585955475563E-2</v>
      </c>
      <c r="T19" s="9">
        <f>IFERROR(Datos_EUR_Paises!U19/Datos_EUR_Paises!T19-1,"")</f>
        <v>3.0363448266880422E-2</v>
      </c>
      <c r="U19" s="9">
        <f>IFERROR(Datos_EUR_Paises!V19/Datos_EUR_Paises!U19-1,"")</f>
        <v>7.3052405720088975E-2</v>
      </c>
      <c r="V19" s="9">
        <f>IFERROR(Datos_EUR_Paises!W19/Datos_EUR_Paises!V19-1,"")</f>
        <v>2.0960902815624571E-2</v>
      </c>
      <c r="W19" s="9">
        <f>IFERROR(Datos_EUR_Paises!X19/Datos_EUR_Paises!W19-1,"")</f>
        <v>2.0949597710560708E-2</v>
      </c>
      <c r="X19" s="9">
        <f>IFERROR(Datos_EUR_Paises!Y19/Datos_EUR_Paises!X19-1,"")</f>
        <v>3.7833671208496567E-2</v>
      </c>
      <c r="Y19" s="9">
        <f>IFERROR(Datos_EUR_Paises!Z19/Datos_EUR_Paises!Y19-1,"")</f>
        <v>2.5516860197403624E-2</v>
      </c>
      <c r="Z19" s="9">
        <f>IFERROR(Datos_EUR_Paises!AA19/Datos_EUR_Paises!Z19-1,"")</f>
        <v>3.3989487262393148E-2</v>
      </c>
      <c r="AA19" s="9">
        <f>IFERROR(Datos_EUR_Paises!AB19/Datos_EUR_Paises!AA19-1,"")</f>
        <v>4.3097128629452142E-2</v>
      </c>
      <c r="AB19" s="9">
        <f>IFERROR(Datos_EUR_Paises!AC19/Datos_EUR_Paises!AB19-1,"")</f>
        <v>6.7537277188420841E-3</v>
      </c>
      <c r="AC19" s="9">
        <f>IFERROR(Datos_EUR_Paises!AD19/Datos_EUR_Paises!AC19-1,"")</f>
        <v>-3.4692275078055612E-2</v>
      </c>
      <c r="AD19" s="9">
        <f>IFERROR(Datos_EUR_Paises!AE19/Datos_EUR_Paises!AD19-1,"")</f>
        <v>6.9425417306257842E-2</v>
      </c>
      <c r="AE19" s="9">
        <f>IFERROR(Datos_EUR_Paises!AF19/Datos_EUR_Paises!AE19-1,"")</f>
        <v>1.9085341902982389E-2</v>
      </c>
      <c r="AF19" s="9">
        <f>IFERROR(Datos_EUR_Paises!AG19/Datos_EUR_Paises!AF19-1,"")</f>
        <v>-9.4160606882376374E-3</v>
      </c>
      <c r="AG19" s="9">
        <f>IFERROR(Datos_EUR_Paises!AH19/Datos_EUR_Paises!AG19-1,"")</f>
        <v>-4.6108010971346314E-4</v>
      </c>
    </row>
    <row r="20" spans="1:33" ht="15" customHeight="1" x14ac:dyDescent="0.35">
      <c r="A20" s="21" t="s">
        <v>90</v>
      </c>
      <c r="B20" s="11" t="s">
        <v>10</v>
      </c>
      <c r="C20" s="9">
        <f>IFERROR(Datos_EUR_Paises!D20/Datos_EUR_Paises!C20-1,"")</f>
        <v>-9.7660520370238979E-2</v>
      </c>
      <c r="D20" s="9">
        <f>IFERROR(Datos_EUR_Paises!E20/Datos_EUR_Paises!D20-1,"")</f>
        <v>3.2900801840414662E-2</v>
      </c>
      <c r="E20" s="9">
        <f>IFERROR(Datos_EUR_Paises!F20/Datos_EUR_Paises!E20-1,"")</f>
        <v>5.0269437684734353E-2</v>
      </c>
      <c r="F20" s="9">
        <f>IFERROR(Datos_EUR_Paises!G20/Datos_EUR_Paises!F20-1,"")</f>
        <v>8.3006303734875386E-2</v>
      </c>
      <c r="G20" s="9">
        <f>IFERROR(Datos_EUR_Paises!H20/Datos_EUR_Paises!G20-1,"")</f>
        <v>7.4629371493722951E-2</v>
      </c>
      <c r="H20" s="9">
        <f>IFERROR(Datos_EUR_Paises!I20/Datos_EUR_Paises!H20-1,"")</f>
        <v>-1.0970081802098797E-2</v>
      </c>
      <c r="I20" s="9">
        <f>IFERROR(Datos_EUR_Paises!J20/Datos_EUR_Paises!I20-1,"")</f>
        <v>3.4186220657161481E-2</v>
      </c>
      <c r="J20" s="9">
        <f>IFERROR(Datos_EUR_Paises!K20/Datos_EUR_Paises!J20-1,"")</f>
        <v>6.4841266518790297E-2</v>
      </c>
      <c r="K20" s="9">
        <f>IFERROR(Datos_EUR_Paises!L20/Datos_EUR_Paises!K20-1,"")</f>
        <v>6.7198394510362469E-2</v>
      </c>
      <c r="L20" s="9">
        <f>IFERROR(Datos_EUR_Paises!M20/Datos_EUR_Paises!L20-1,"")</f>
        <v>0.10551895962957447</v>
      </c>
      <c r="M20" s="9">
        <f>IFERROR(Datos_EUR_Paises!N20/Datos_EUR_Paises!M20-1,"")</f>
        <v>6.5020353607557091E-2</v>
      </c>
      <c r="N20" s="9">
        <f>IFERROR(Datos_EUR_Paises!O20/Datos_EUR_Paises!N20-1,"")</f>
        <v>7.7314467577490165E-2</v>
      </c>
      <c r="O20" s="9">
        <f>IFERROR(Datos_EUR_Paises!P20/Datos_EUR_Paises!O20-1,"")</f>
        <v>7.3954812246862955E-2</v>
      </c>
      <c r="P20" s="9">
        <f>IFERROR(Datos_EUR_Paises!Q20/Datos_EUR_Paises!P20-1,"")</f>
        <v>0.11077928257867242</v>
      </c>
      <c r="Q20" s="9">
        <f>IFERROR(Datos_EUR_Paises!R20/Datos_EUR_Paises!Q20-1,"")</f>
        <v>2.599461546056081E-2</v>
      </c>
      <c r="R20" s="9">
        <f>IFERROR(Datos_EUR_Paises!S20/Datos_EUR_Paises!R20-1,"")</f>
        <v>-0.14838611789484701</v>
      </c>
      <c r="S20" s="9">
        <f>IFERROR(Datos_EUR_Paises!T20/Datos_EUR_Paises!S20-1,"")</f>
        <v>4.2719956655057345E-3</v>
      </c>
      <c r="T20" s="9">
        <f>IFERROR(Datos_EUR_Paises!U20/Datos_EUR_Paises!T20-1,"")</f>
        <v>6.3236366482131379E-2</v>
      </c>
      <c r="U20" s="9">
        <f>IFERROR(Datos_EUR_Paises!V20/Datos_EUR_Paises!U20-1,"")</f>
        <v>4.3829058435514767E-2</v>
      </c>
      <c r="V20" s="9">
        <f>IFERROR(Datos_EUR_Paises!W20/Datos_EUR_Paises!V20-1,"")</f>
        <v>4.0469131857533647E-2</v>
      </c>
      <c r="W20" s="9">
        <f>IFERROR(Datos_EUR_Paises!X20/Datos_EUR_Paises!W20-1,"")</f>
        <v>3.7725437958096908E-2</v>
      </c>
      <c r="X20" s="9">
        <f>IFERROR(Datos_EUR_Paises!Y20/Datos_EUR_Paises!X20-1,"")</f>
        <v>2.8328064334324887E-2</v>
      </c>
      <c r="Y20" s="9">
        <f>IFERROR(Datos_EUR_Paises!Z20/Datos_EUR_Paises!Y20-1,"")</f>
        <v>2.6719221505332902E-2</v>
      </c>
      <c r="Z20" s="9">
        <f>IFERROR(Datos_EUR_Paises!AA20/Datos_EUR_Paises!Z20-1,"")</f>
        <v>4.6122431031281552E-2</v>
      </c>
      <c r="AA20" s="9">
        <f>IFERROR(Datos_EUR_Paises!AB20/Datos_EUR_Paises!AA20-1,"")</f>
        <v>4.9183678010680687E-2</v>
      </c>
      <c r="AB20" s="9">
        <f>IFERROR(Datos_EUR_Paises!AC20/Datos_EUR_Paises!AB20-1,"")</f>
        <v>4.6773518353045107E-2</v>
      </c>
      <c r="AC20" s="9">
        <f>IFERROR(Datos_EUR_Paises!AD20/Datos_EUR_Paises!AC20-1,"")</f>
        <v>4.2815833698051087E-4</v>
      </c>
      <c r="AD20" s="9">
        <f>IFERROR(Datos_EUR_Paises!AE20/Datos_EUR_Paises!AD20-1,"")</f>
        <v>6.3800160617987656E-2</v>
      </c>
      <c r="AE20" s="9">
        <f>IFERROR(Datos_EUR_Paises!AF20/Datos_EUR_Paises!AE20-1,"")</f>
        <v>2.5375257401154094E-2</v>
      </c>
      <c r="AF20" s="9">
        <f>IFERROR(Datos_EUR_Paises!AG20/Datos_EUR_Paises!AF20-1,"")</f>
        <v>3.4226271627713079E-3</v>
      </c>
      <c r="AG20" s="9">
        <f>IFERROR(Datos_EUR_Paises!AH20/Datos_EUR_Paises!AG20-1,"")</f>
        <v>2.7726312453029145E-2</v>
      </c>
    </row>
    <row r="21" spans="1:33" ht="15" customHeight="1" x14ac:dyDescent="0.35">
      <c r="A21" s="21" t="s">
        <v>92</v>
      </c>
      <c r="B21" s="11" t="s">
        <v>10</v>
      </c>
      <c r="C21" s="9">
        <f>IFERROR(Datos_EUR_Paises!D21/Datos_EUR_Paises!C21-1,"")</f>
        <v>3.8209216866872842E-2</v>
      </c>
      <c r="D21" s="9">
        <f>IFERROR(Datos_EUR_Paises!E21/Datos_EUR_Paises!D21-1,"")</f>
        <v>1.4322001977614907E-2</v>
      </c>
      <c r="E21" s="9">
        <f>IFERROR(Datos_EUR_Paises!F21/Datos_EUR_Paises!E21-1,"")</f>
        <v>1.3980754977984677E-2</v>
      </c>
      <c r="F21" s="9">
        <f>IFERROR(Datos_EUR_Paises!G21/Datos_EUR_Paises!F21-1,"")</f>
        <v>5.4198308405674078E-2</v>
      </c>
      <c r="G21" s="9">
        <f>IFERROR(Datos_EUR_Paises!H21/Datos_EUR_Paises!G21-1,"")</f>
        <v>6.6745129070276965E-2</v>
      </c>
      <c r="H21" s="9">
        <f>IFERROR(Datos_EUR_Paises!I21/Datos_EUR_Paises!H21-1,"")</f>
        <v>8.1751818490095829E-2</v>
      </c>
      <c r="I21" s="9">
        <f>IFERROR(Datos_EUR_Paises!J21/Datos_EUR_Paises!I21-1,"")</f>
        <v>6.9381297613609449E-2</v>
      </c>
      <c r="J21" s="9">
        <f>IFERROR(Datos_EUR_Paises!K21/Datos_EUR_Paises!J21-1,"")</f>
        <v>3.0743555095273045E-2</v>
      </c>
      <c r="K21" s="9">
        <f>IFERROR(Datos_EUR_Paises!L21/Datos_EUR_Paises!K21-1,"")</f>
        <v>3.2254178230100683E-2</v>
      </c>
      <c r="L21" s="9">
        <f>IFERROR(Datos_EUR_Paises!M21/Datos_EUR_Paises!L21-1,"")</f>
        <v>2.6193786135449093E-2</v>
      </c>
      <c r="M21" s="9">
        <f>IFERROR(Datos_EUR_Paises!N21/Datos_EUR_Paises!M21-1,"")</f>
        <v>4.2318892883546733E-2</v>
      </c>
      <c r="N21" s="9">
        <f>IFERROR(Datos_EUR_Paises!O21/Datos_EUR_Paises!N21-1,"")</f>
        <v>2.4828749846839582E-2</v>
      </c>
      <c r="O21" s="9">
        <f>IFERROR(Datos_EUR_Paises!P21/Datos_EUR_Paises!O21-1,"")</f>
        <v>6.0167154014545643E-2</v>
      </c>
      <c r="P21" s="9">
        <f>IFERROR(Datos_EUR_Paises!Q21/Datos_EUR_Paises!P21-1,"")</f>
        <v>8.0986672304807605E-2</v>
      </c>
      <c r="Q21" s="9">
        <f>IFERROR(Datos_EUR_Paises!R21/Datos_EUR_Paises!Q21-1,"")</f>
        <v>-3.0017562493669381E-3</v>
      </c>
      <c r="R21" s="9">
        <f>IFERROR(Datos_EUR_Paises!S21/Datos_EUR_Paises!R21-1,"")</f>
        <v>-3.2389540914749437E-2</v>
      </c>
      <c r="S21" s="9">
        <f>IFERROR(Datos_EUR_Paises!T21/Datos_EUR_Paises!S21-1,"")</f>
        <v>3.7604145432003522E-2</v>
      </c>
      <c r="T21" s="9">
        <f>IFERROR(Datos_EUR_Paises!U21/Datos_EUR_Paises!T21-1,"")</f>
        <v>1.0442985532332028E-2</v>
      </c>
      <c r="U21" s="9">
        <f>IFERROR(Datos_EUR_Paises!V21/Datos_EUR_Paises!U21-1,"")</f>
        <v>1.6499021276455084E-2</v>
      </c>
      <c r="V21" s="9">
        <f>IFERROR(Datos_EUR_Paises!W21/Datos_EUR_Paises!V21-1,"")</f>
        <v>3.1717898996868721E-2</v>
      </c>
      <c r="W21" s="9">
        <f>IFERROR(Datos_EUR_Paises!X21/Datos_EUR_Paises!W21-1,"")</f>
        <v>2.6230867915486789E-2</v>
      </c>
      <c r="X21" s="9">
        <f>IFERROR(Datos_EUR_Paises!Y21/Datos_EUR_Paises!X21-1,"")</f>
        <v>2.2697842330284823E-2</v>
      </c>
      <c r="Y21" s="9">
        <f>IFERROR(Datos_EUR_Paises!Z21/Datos_EUR_Paises!Y21-1,"")</f>
        <v>4.9781901152011532E-2</v>
      </c>
      <c r="Z21" s="9">
        <f>IFERROR(Datos_EUR_Paises!AA21/Datos_EUR_Paises!Z21-1,"")</f>
        <v>1.3171871375428745E-2</v>
      </c>
      <c r="AA21" s="9">
        <f>IFERROR(Datos_EUR_Paises!AB21/Datos_EUR_Paises!AA21-1,"")</f>
        <v>1.6112956133816914E-2</v>
      </c>
      <c r="AB21" s="9">
        <f>IFERROR(Datos_EUR_Paises!AC21/Datos_EUR_Paises!AB21-1,"")</f>
        <v>2.7493192907264596E-2</v>
      </c>
      <c r="AC21" s="9">
        <f>IFERROR(Datos_EUR_Paises!AD21/Datos_EUR_Paises!AC21-1,"")</f>
        <v>-5.100516340397987E-3</v>
      </c>
      <c r="AD21" s="9">
        <f>IFERROR(Datos_EUR_Paises!AE21/Datos_EUR_Paises!AD21-1,"")</f>
        <v>6.9297342584232924E-2</v>
      </c>
      <c r="AE21" s="9">
        <f>IFERROR(Datos_EUR_Paises!AF21/Datos_EUR_Paises!AE21-1,"")</f>
        <v>-1.0974168968152287E-2</v>
      </c>
      <c r="AF21" s="9">
        <f>IFERROR(Datos_EUR_Paises!AG21/Datos_EUR_Paises!AF21-1,"")</f>
        <v>9.9439994355332573E-4</v>
      </c>
      <c r="AG21" s="9">
        <f>IFERROR(Datos_EUR_Paises!AH21/Datos_EUR_Paises!AG21-1,"")</f>
        <v>3.5861253942075511E-3</v>
      </c>
    </row>
    <row r="22" spans="1:33" ht="15" customHeight="1" x14ac:dyDescent="0.35">
      <c r="A22" s="21" t="s">
        <v>94</v>
      </c>
      <c r="B22" s="11" t="s">
        <v>10</v>
      </c>
      <c r="C22" s="9">
        <f>IFERROR(Datos_EUR_Paises!D22/Datos_EUR_Paises!C22-1,"")</f>
        <v>5.6511040921121802E-2</v>
      </c>
      <c r="D22" s="9">
        <f>IFERROR(Datos_EUR_Paises!E22/Datos_EUR_Paises!D22-1,"")</f>
        <v>6.3424925876945926E-2</v>
      </c>
      <c r="E22" s="9">
        <f>IFERROR(Datos_EUR_Paises!F22/Datos_EUR_Paises!E22-1,"")</f>
        <v>3.7773356666885638E-2</v>
      </c>
      <c r="F22" s="9">
        <f>IFERROR(Datos_EUR_Paises!G22/Datos_EUR_Paises!F22-1,"")</f>
        <v>5.2569809144056956E-2</v>
      </c>
      <c r="G22" s="9">
        <f>IFERROR(Datos_EUR_Paises!H22/Datos_EUR_Paises!G22-1,"")</f>
        <v>5.1256009716595274E-2</v>
      </c>
      <c r="H22" s="9">
        <f>IFERROR(Datos_EUR_Paises!I22/Datos_EUR_Paises!H22-1,"")</f>
        <v>4.7199759516097339E-2</v>
      </c>
      <c r="I22" s="9">
        <f>IFERROR(Datos_EUR_Paises!J22/Datos_EUR_Paises!I22-1,"")</f>
        <v>0.19681269257154299</v>
      </c>
      <c r="J22" s="9">
        <f>IFERROR(Datos_EUR_Paises!K22/Datos_EUR_Paises!J22-1,"")</f>
        <v>-7.5720307941123943E-3</v>
      </c>
      <c r="K22" s="9">
        <f>IFERROR(Datos_EUR_Paises!L22/Datos_EUR_Paises!K22-1,"")</f>
        <v>2.7411351448188626E-2</v>
      </c>
      <c r="L22" s="9">
        <f>IFERROR(Datos_EUR_Paises!M22/Datos_EUR_Paises!L22-1,"")</f>
        <v>3.6933104621591273E-2</v>
      </c>
      <c r="M22" s="9">
        <f>IFERROR(Datos_EUR_Paises!N22/Datos_EUR_Paises!M22-1,"")</f>
        <v>4.0735447056119423E-3</v>
      </c>
      <c r="N22" s="9">
        <f>IFERROR(Datos_EUR_Paises!O22/Datos_EUR_Paises!N22-1,"")</f>
        <v>2.8812352390015006E-2</v>
      </c>
      <c r="O22" s="9">
        <f>IFERROR(Datos_EUR_Paises!P22/Datos_EUR_Paises!O22-1,"")</f>
        <v>2.336189450290882E-2</v>
      </c>
      <c r="P22" s="9">
        <f>IFERROR(Datos_EUR_Paises!Q22/Datos_EUR_Paises!P22-1,"")</f>
        <v>5.0364016813697843E-2</v>
      </c>
      <c r="Q22" s="9">
        <f>IFERROR(Datos_EUR_Paises!R22/Datos_EUR_Paises!Q22-1,"")</f>
        <v>4.4105966058433532E-2</v>
      </c>
      <c r="R22" s="9">
        <f>IFERROR(Datos_EUR_Paises!S22/Datos_EUR_Paises!R22-1,"")</f>
        <v>-1.3952497347108572E-2</v>
      </c>
      <c r="S22" s="9">
        <f>IFERROR(Datos_EUR_Paises!T22/Datos_EUR_Paises!S22-1,"")</f>
        <v>6.1973504111045852E-2</v>
      </c>
      <c r="T22" s="9">
        <f>IFERROR(Datos_EUR_Paises!U22/Datos_EUR_Paises!T22-1,"")</f>
        <v>9.9220191192286311E-3</v>
      </c>
      <c r="U22" s="9">
        <f>IFERROR(Datos_EUR_Paises!V22/Datos_EUR_Paises!U22-1,"")</f>
        <v>4.1016739224140064E-2</v>
      </c>
      <c r="V22" s="9">
        <f>IFERROR(Datos_EUR_Paises!W22/Datos_EUR_Paises!V22-1,"")</f>
        <v>6.2923337586700434E-2</v>
      </c>
      <c r="W22" s="9">
        <f>IFERROR(Datos_EUR_Paises!X22/Datos_EUR_Paises!W22-1,"")</f>
        <v>7.6313636084589964E-2</v>
      </c>
      <c r="X22" s="9">
        <f>IFERROR(Datos_EUR_Paises!Y22/Datos_EUR_Paises!X22-1,"")</f>
        <v>9.6207031576499791E-2</v>
      </c>
      <c r="Y22" s="9">
        <f>IFERROR(Datos_EUR_Paises!Z22/Datos_EUR_Paises!Y22-1,"")</f>
        <v>4.0780035593214192E-2</v>
      </c>
      <c r="Z22" s="9">
        <f>IFERROR(Datos_EUR_Paises!AA22/Datos_EUR_Paises!Z22-1,"")</f>
        <v>0.12971342496246496</v>
      </c>
      <c r="AA22" s="9">
        <f>IFERROR(Datos_EUR_Paises!AB22/Datos_EUR_Paises!AA22-1,"")</f>
        <v>7.1892147960373354E-2</v>
      </c>
      <c r="AB22" s="9">
        <f>IFERROR(Datos_EUR_Paises!AC22/Datos_EUR_Paises!AB22-1,"")</f>
        <v>4.085055821341399E-2</v>
      </c>
      <c r="AC22" s="9">
        <f>IFERROR(Datos_EUR_Paises!AD22/Datos_EUR_Paises!AC22-1,"")</f>
        <v>-3.4572827629471115E-2</v>
      </c>
      <c r="AD22" s="9">
        <f>IFERROR(Datos_EUR_Paises!AE22/Datos_EUR_Paises!AD22-1,"")</f>
        <v>0.13411704293932192</v>
      </c>
      <c r="AE22" s="9">
        <f>IFERROR(Datos_EUR_Paises!AF22/Datos_EUR_Paises!AE22-1,"")</f>
        <v>2.4830999383776531E-2</v>
      </c>
      <c r="AF22" s="9">
        <f>IFERROR(Datos_EUR_Paises!AG22/Datos_EUR_Paises!AF22-1,"")</f>
        <v>0.10621518502261651</v>
      </c>
      <c r="AG22" s="9">
        <f>IFERROR(Datos_EUR_Paises!AH22/Datos_EUR_Paises!AG22-1,"")</f>
        <v>6.7999030022439566E-2</v>
      </c>
    </row>
    <row r="23" spans="1:33" ht="15" customHeight="1" x14ac:dyDescent="0.35">
      <c r="A23" s="21" t="s">
        <v>96</v>
      </c>
      <c r="B23" s="11" t="s">
        <v>10</v>
      </c>
      <c r="C23" s="9">
        <f>IFERROR(Datos_EUR_Paises!D23/Datos_EUR_Paises!C23-1,"")</f>
        <v>2.9610924909261316E-2</v>
      </c>
      <c r="D23" s="9">
        <f>IFERROR(Datos_EUR_Paises!E23/Datos_EUR_Paises!D23-1,"")</f>
        <v>3.1160358898282281E-2</v>
      </c>
      <c r="E23" s="9">
        <f>IFERROR(Datos_EUR_Paises!F23/Datos_EUR_Paises!E23-1,"")</f>
        <v>3.420577338113584E-2</v>
      </c>
      <c r="F23" s="9">
        <f>IFERROR(Datos_EUR_Paises!G23/Datos_EUR_Paises!F23-1,"")</f>
        <v>4.2484795429701405E-2</v>
      </c>
      <c r="G23" s="9">
        <f>IFERROR(Datos_EUR_Paises!H23/Datos_EUR_Paises!G23-1,"")</f>
        <v>4.6477846246178567E-2</v>
      </c>
      <c r="H23" s="9">
        <f>IFERROR(Datos_EUR_Paises!I23/Datos_EUR_Paises!H23-1,"")</f>
        <v>5.0433213643024777E-2</v>
      </c>
      <c r="I23" s="9">
        <f>IFERROR(Datos_EUR_Paises!J23/Datos_EUR_Paises!I23-1,"")</f>
        <v>4.2197537762101556E-2</v>
      </c>
      <c r="J23" s="9">
        <f>IFERROR(Datos_EUR_Paises!K23/Datos_EUR_Paises!J23-1,"")</f>
        <v>2.3235757081939701E-2</v>
      </c>
      <c r="K23" s="9">
        <f>IFERROR(Datos_EUR_Paises!L23/Datos_EUR_Paises!K23-1,"")</f>
        <v>2.457856591290275E-3</v>
      </c>
      <c r="L23" s="9">
        <f>IFERROR(Datos_EUR_Paises!M23/Datos_EUR_Paises!L23-1,"")</f>
        <v>9.783236422724606E-4</v>
      </c>
      <c r="M23" s="9">
        <f>IFERROR(Datos_EUR_Paises!N23/Datos_EUR_Paises!M23-1,"")</f>
        <v>2.0163099621673064E-2</v>
      </c>
      <c r="N23" s="9">
        <f>IFERROR(Datos_EUR_Paises!O23/Datos_EUR_Paises!N23-1,"")</f>
        <v>2.0339633619913311E-2</v>
      </c>
      <c r="O23" s="9">
        <f>IFERROR(Datos_EUR_Paises!P23/Datos_EUR_Paises!O23-1,"")</f>
        <v>3.5373750968079598E-2</v>
      </c>
      <c r="P23" s="9">
        <f>IFERROR(Datos_EUR_Paises!Q23/Datos_EUR_Paises!P23-1,"")</f>
        <v>3.8853064480181665E-2</v>
      </c>
      <c r="Q23" s="9">
        <f>IFERROR(Datos_EUR_Paises!R23/Datos_EUR_Paises!Q23-1,"")</f>
        <v>2.1168159364213901E-2</v>
      </c>
      <c r="R23" s="9">
        <f>IFERROR(Datos_EUR_Paises!S23/Datos_EUR_Paises!R23-1,"")</f>
        <v>-3.6652904914509565E-2</v>
      </c>
      <c r="S23" s="9">
        <f>IFERROR(Datos_EUR_Paises!T23/Datos_EUR_Paises!S23-1,"")</f>
        <v>1.3193203230221551E-2</v>
      </c>
      <c r="T23" s="9">
        <f>IFERROR(Datos_EUR_Paises!U23/Datos_EUR_Paises!T23-1,"")</f>
        <v>1.7733451626941621E-2</v>
      </c>
      <c r="U23" s="9">
        <f>IFERROR(Datos_EUR_Paises!V23/Datos_EUR_Paises!U23-1,"")</f>
        <v>-9.7787687774777421E-3</v>
      </c>
      <c r="V23" s="9">
        <f>IFERROR(Datos_EUR_Paises!W23/Datos_EUR_Paises!V23-1,"")</f>
        <v>-3.0232560053899959E-4</v>
      </c>
      <c r="W23" s="9">
        <f>IFERROR(Datos_EUR_Paises!X23/Datos_EUR_Paises!W23-1,"")</f>
        <v>1.6126100129401744E-2</v>
      </c>
      <c r="X23" s="9">
        <f>IFERROR(Datos_EUR_Paises!Y23/Datos_EUR_Paises!X23-1,"")</f>
        <v>2.1206052386083973E-2</v>
      </c>
      <c r="Y23" s="9">
        <f>IFERROR(Datos_EUR_Paises!Z23/Datos_EUR_Paises!Y23-1,"")</f>
        <v>2.4242857295547759E-2</v>
      </c>
      <c r="Z23" s="9">
        <f>IFERROR(Datos_EUR_Paises!AA23/Datos_EUR_Paises!Z23-1,"")</f>
        <v>2.7815461930994045E-2</v>
      </c>
      <c r="AA23" s="9">
        <f>IFERROR(Datos_EUR_Paises!AB23/Datos_EUR_Paises!AA23-1,"")</f>
        <v>2.258740373573076E-2</v>
      </c>
      <c r="AB23" s="9">
        <f>IFERROR(Datos_EUR_Paises!AC23/Datos_EUR_Paises!AB23-1,"")</f>
        <v>2.3000915791675736E-2</v>
      </c>
      <c r="AC23" s="9">
        <f>IFERROR(Datos_EUR_Paises!AD23/Datos_EUR_Paises!AC23-1,"")</f>
        <v>-3.8679533382321662E-2</v>
      </c>
      <c r="AD23" s="9">
        <f>IFERROR(Datos_EUR_Paises!AE23/Datos_EUR_Paises!AD23-1,"")</f>
        <v>6.2768306708324895E-2</v>
      </c>
      <c r="AE23" s="9">
        <f>IFERROR(Datos_EUR_Paises!AF23/Datos_EUR_Paises!AE23-1,"")</f>
        <v>5.0072345515961292E-2</v>
      </c>
      <c r="AF23" s="9">
        <f>IFERROR(Datos_EUR_Paises!AG23/Datos_EUR_Paises!AF23-1,"")</f>
        <v>-5.9809616720980507E-3</v>
      </c>
      <c r="AG23" s="9">
        <f>IFERROR(Datos_EUR_Paises!AH23/Datos_EUR_Paises!AG23-1,"")</f>
        <v>1.0810058484566287E-2</v>
      </c>
    </row>
    <row r="24" spans="1:33" ht="15" customHeight="1" x14ac:dyDescent="0.35">
      <c r="A24" s="21" t="s">
        <v>98</v>
      </c>
      <c r="B24" s="11" t="s">
        <v>10</v>
      </c>
      <c r="C24" s="9">
        <f>IFERROR(Datos_EUR_Paises!D24/Datos_EUR_Paises!C24-1,"")</f>
        <v>9.6483828506757074E-3</v>
      </c>
      <c r="D24" s="9">
        <f>IFERROR(Datos_EUR_Paises!E24/Datos_EUR_Paises!D24-1,"")</f>
        <v>4.282780172360634E-2</v>
      </c>
      <c r="E24" s="9">
        <f>IFERROR(Datos_EUR_Paises!F24/Datos_EUR_Paises!E24-1,"")</f>
        <v>3.504246530586963E-2</v>
      </c>
      <c r="F24" s="9">
        <f>IFERROR(Datos_EUR_Paises!G24/Datos_EUR_Paises!F24-1,"")</f>
        <v>4.4008676645802769E-2</v>
      </c>
      <c r="G24" s="9">
        <f>IFERROR(Datos_EUR_Paises!H24/Datos_EUR_Paises!G24-1,"")</f>
        <v>4.8079631895321384E-2</v>
      </c>
      <c r="H24" s="9">
        <f>IFERROR(Datos_EUR_Paises!I24/Datos_EUR_Paises!H24-1,"")</f>
        <v>3.9065777962309811E-2</v>
      </c>
      <c r="I24" s="9">
        <f>IFERROR(Datos_EUR_Paises!J24/Datos_EUR_Paises!I24-1,"")</f>
        <v>3.8161771410822887E-2</v>
      </c>
      <c r="J24" s="9">
        <f>IFERROR(Datos_EUR_Paises!K24/Datos_EUR_Paises!J24-1,"")</f>
        <v>1.9436721342793506E-2</v>
      </c>
      <c r="K24" s="9">
        <f>IFERROR(Datos_EUR_Paises!L24/Datos_EUR_Paises!K24-1,"")</f>
        <v>7.7092478124740627E-3</v>
      </c>
      <c r="L24" s="9">
        <f>IFERROR(Datos_EUR_Paises!M24/Datos_EUR_Paises!L24-1,"")</f>
        <v>-9.3052104506262667E-3</v>
      </c>
      <c r="M24" s="9">
        <f>IFERROR(Datos_EUR_Paises!N24/Datos_EUR_Paises!M24-1,"")</f>
        <v>1.788735529172869E-2</v>
      </c>
      <c r="N24" s="9">
        <f>IFERROR(Datos_EUR_Paises!O24/Datos_EUR_Paises!N24-1,"")</f>
        <v>7.8184756912336173E-3</v>
      </c>
      <c r="O24" s="9">
        <f>IFERROR(Datos_EUR_Paises!P24/Datos_EUR_Paises!O24-1,"")</f>
        <v>1.6250353295617082E-2</v>
      </c>
      <c r="P24" s="9">
        <f>IFERROR(Datos_EUR_Paises!Q24/Datos_EUR_Paises!P24-1,"")</f>
        <v>2.5065793775125078E-2</v>
      </c>
      <c r="Q24" s="9">
        <f>IFERROR(Datos_EUR_Paises!R24/Datos_EUR_Paises!Q24-1,"")</f>
        <v>3.1924734443413705E-3</v>
      </c>
      <c r="R24" s="9">
        <f>IFERROR(Datos_EUR_Paises!S24/Datos_EUR_Paises!R24-1,"")</f>
        <v>-3.1220782754505683E-2</v>
      </c>
      <c r="S24" s="9">
        <f>IFERROR(Datos_EUR_Paises!T24/Datos_EUR_Paises!S24-1,"")</f>
        <v>1.7376245363999843E-2</v>
      </c>
      <c r="T24" s="9">
        <f>IFERROR(Datos_EUR_Paises!U24/Datos_EUR_Paises!T24-1,"")</f>
        <v>-1.7135274590502902E-2</v>
      </c>
      <c r="U24" s="9">
        <f>IFERROR(Datos_EUR_Paises!V24/Datos_EUR_Paises!U24-1,"")</f>
        <v>-4.0509026762194034E-2</v>
      </c>
      <c r="V24" s="9">
        <f>IFERROR(Datos_EUR_Paises!W24/Datos_EUR_Paises!V24-1,"")</f>
        <v>-9.8410657414844671E-3</v>
      </c>
      <c r="W24" s="9">
        <f>IFERROR(Datos_EUR_Paises!X24/Datos_EUR_Paises!W24-1,"")</f>
        <v>7.4139142070674957E-3</v>
      </c>
      <c r="X24" s="9">
        <f>IFERROR(Datos_EUR_Paises!Y24/Datos_EUR_Paises!X24-1,"")</f>
        <v>1.5897980370263909E-2</v>
      </c>
      <c r="Y24" s="9">
        <f>IFERROR(Datos_EUR_Paises!Z24/Datos_EUR_Paises!Y24-1,"")</f>
        <v>2.0041412966660843E-2</v>
      </c>
      <c r="Z24" s="9">
        <f>IFERROR(Datos_EUR_Paises!AA24/Datos_EUR_Paises!Z24-1,"")</f>
        <v>3.3147200817594591E-2</v>
      </c>
      <c r="AA24" s="9">
        <f>IFERROR(Datos_EUR_Paises!AB24/Datos_EUR_Paises!AA24-1,"")</f>
        <v>2.9462834344920807E-2</v>
      </c>
      <c r="AB24" s="9">
        <f>IFERROR(Datos_EUR_Paises!AC24/Datos_EUR_Paises!AB24-1,"")</f>
        <v>2.7456843264863418E-2</v>
      </c>
      <c r="AC24" s="9">
        <f>IFERROR(Datos_EUR_Paises!AD24/Datos_EUR_Paises!AC24-1,"")</f>
        <v>-8.2046315932441161E-2</v>
      </c>
      <c r="AD24" s="9">
        <f>IFERROR(Datos_EUR_Paises!AE24/Datos_EUR_Paises!AD24-1,"")</f>
        <v>5.5587567207039612E-2</v>
      </c>
      <c r="AE24" s="9">
        <f>IFERROR(Datos_EUR_Paises!AF24/Datos_EUR_Paises!AE24-1,"")</f>
        <v>6.9858413758027149E-2</v>
      </c>
      <c r="AF24" s="9">
        <f>IFERROR(Datos_EUR_Paises!AG24/Datos_EUR_Paises!AF24-1,"")</f>
        <v>3.0999790901825586E-2</v>
      </c>
      <c r="AG24" s="9">
        <f>IFERROR(Datos_EUR_Paises!AH24/Datos_EUR_Paises!AG24-1,"")</f>
        <v>2.1396717717761859E-2</v>
      </c>
    </row>
    <row r="25" spans="1:33" ht="15" customHeight="1" x14ac:dyDescent="0.35">
      <c r="A25" s="21" t="s">
        <v>11</v>
      </c>
      <c r="B25" s="11" t="s">
        <v>11</v>
      </c>
      <c r="C25" s="9">
        <f>IFERROR(Datos_EUR_Paises!D25/Datos_EUR_Paises!C25-1,"")</f>
        <v>4.0290227298337866E-2</v>
      </c>
      <c r="D25" s="9">
        <f>IFERROR(Datos_EUR_Paises!E25/Datos_EUR_Paises!D25-1,"")</f>
        <v>2.6844307317790417E-2</v>
      </c>
      <c r="E25" s="9">
        <f>IFERROR(Datos_EUR_Paises!F25/Datos_EUR_Paises!E25-1,"")</f>
        <v>3.7727726911943815E-2</v>
      </c>
      <c r="F25" s="9">
        <f>IFERROR(Datos_EUR_Paises!G25/Datos_EUR_Paises!F25-1,"")</f>
        <v>4.4471279356646631E-2</v>
      </c>
      <c r="G25" s="9">
        <f>IFERROR(Datos_EUR_Paises!H25/Datos_EUR_Paises!G25-1,"")</f>
        <v>4.4831333537461271E-2</v>
      </c>
      <c r="H25" s="9">
        <f>IFERROR(Datos_EUR_Paises!I25/Datos_EUR_Paises!H25-1,"")</f>
        <v>4.7884250472522538E-2</v>
      </c>
      <c r="I25" s="9">
        <f>IFERROR(Datos_EUR_Paises!J25/Datos_EUR_Paises!I25-1,"")</f>
        <v>4.0775857568278839E-2</v>
      </c>
      <c r="J25" s="9">
        <f>IFERROR(Datos_EUR_Paises!K25/Datos_EUR_Paises!J25-1,"")</f>
        <v>9.5553834834167795E-3</v>
      </c>
      <c r="K25" s="9">
        <f>IFERROR(Datos_EUR_Paises!L25/Datos_EUR_Paises!K25-1,"")</f>
        <v>1.7004473264373487E-2</v>
      </c>
      <c r="L25" s="9">
        <f>IFERROR(Datos_EUR_Paises!M25/Datos_EUR_Paises!L25-1,"")</f>
        <v>2.7956059632011421E-2</v>
      </c>
      <c r="M25" s="9">
        <f>IFERROR(Datos_EUR_Paises!N25/Datos_EUR_Paises!M25-1,"")</f>
        <v>3.8477716955693353E-2</v>
      </c>
      <c r="N25" s="9">
        <f>IFERROR(Datos_EUR_Paises!O25/Datos_EUR_Paises!N25-1,"")</f>
        <v>3.4835499355557742E-2</v>
      </c>
      <c r="O25" s="9">
        <f>IFERROR(Datos_EUR_Paises!P25/Datos_EUR_Paises!O25-1,"")</f>
        <v>2.784539636506933E-2</v>
      </c>
      <c r="P25" s="9">
        <f>IFERROR(Datos_EUR_Paises!Q25/Datos_EUR_Paises!P25-1,"")</f>
        <v>2.0038582978496144E-2</v>
      </c>
      <c r="Q25" s="9">
        <f>IFERROR(Datos_EUR_Paises!R25/Datos_EUR_Paises!Q25-1,"")</f>
        <v>1.1358724988150826E-3</v>
      </c>
      <c r="R25" s="9">
        <f>IFERROR(Datos_EUR_Paises!S25/Datos_EUR_Paises!R25-1,"")</f>
        <v>-2.5765002295838668E-2</v>
      </c>
      <c r="S25" s="9">
        <f>IFERROR(Datos_EUR_Paises!T25/Datos_EUR_Paises!S25-1,"")</f>
        <v>2.695192577445038E-2</v>
      </c>
      <c r="T25" s="9">
        <f>IFERROR(Datos_EUR_Paises!U25/Datos_EUR_Paises!T25-1,"")</f>
        <v>1.5644068576349035E-2</v>
      </c>
      <c r="U25" s="9">
        <f>IFERROR(Datos_EUR_Paises!V25/Datos_EUR_Paises!U25-1,"")</f>
        <v>2.2891133866985047E-2</v>
      </c>
      <c r="V25" s="9">
        <f>IFERROR(Datos_EUR_Paises!W25/Datos_EUR_Paises!V25-1,"")</f>
        <v>2.1178300979002085E-2</v>
      </c>
      <c r="W25" s="9">
        <f>IFERROR(Datos_EUR_Paises!X25/Datos_EUR_Paises!W25-1,"")</f>
        <v>2.5238198136398937E-2</v>
      </c>
      <c r="X25" s="9">
        <f>IFERROR(Datos_EUR_Paises!Y25/Datos_EUR_Paises!X25-1,"")</f>
        <v>2.9455504548404177E-2</v>
      </c>
      <c r="Y25" s="9">
        <f>IFERROR(Datos_EUR_Paises!Z25/Datos_EUR_Paises!Y25-1,"")</f>
        <v>1.8194514778818505E-2</v>
      </c>
      <c r="Z25" s="9">
        <f>IFERROR(Datos_EUR_Paises!AA25/Datos_EUR_Paises!Z25-1,"")</f>
        <v>2.4576222985250196E-2</v>
      </c>
      <c r="AA25" s="9">
        <f>IFERROR(Datos_EUR_Paises!AB25/Datos_EUR_Paises!AA25-1,"")</f>
        <v>2.9665050690131034E-2</v>
      </c>
      <c r="AB25" s="9">
        <f>IFERROR(Datos_EUR_Paises!AC25/Datos_EUR_Paises!AB25-1,"")</f>
        <v>2.5838253341281758E-2</v>
      </c>
      <c r="AC25" s="9">
        <f>IFERROR(Datos_EUR_Paises!AD25/Datos_EUR_Paises!AC25-1,"")</f>
        <v>-2.1630291403614943E-2</v>
      </c>
      <c r="AD25" s="9">
        <f>IFERROR(Datos_EUR_Paises!AE25/Datos_EUR_Paises!AD25-1,"")</f>
        <v>6.0550529324452373E-2</v>
      </c>
      <c r="AE25" s="9">
        <f>IFERROR(Datos_EUR_Paises!AF25/Datos_EUR_Paises!AE25-1,"")</f>
        <v>2.5123753198602161E-2</v>
      </c>
      <c r="AF25" s="9">
        <f>IFERROR(Datos_EUR_Paises!AG25/Datos_EUR_Paises!AF25-1,"")</f>
        <v>2.8875560074946849E-2</v>
      </c>
      <c r="AG25" s="9">
        <f>IFERROR(Datos_EUR_Paises!AH25/Datos_EUR_Paises!AG25-1,"")</f>
        <v>2.7930012771678836E-2</v>
      </c>
    </row>
    <row r="26" spans="1:33" ht="15" customHeight="1" x14ac:dyDescent="0.35">
      <c r="A26" s="21" t="s">
        <v>101</v>
      </c>
      <c r="B26" s="11" t="s">
        <v>12</v>
      </c>
      <c r="C26" s="9">
        <f>IFERROR(Datos_EUR_Paises!D26/Datos_EUR_Paises!C26-1,"")</f>
        <v>4.9534109280070737E-2</v>
      </c>
      <c r="D26" s="9">
        <f>IFERROR(Datos_EUR_Paises!E26/Datos_EUR_Paises!D26-1,"")</f>
        <v>3.5333909633803229E-2</v>
      </c>
      <c r="E26" s="9">
        <f>IFERROR(Datos_EUR_Paises!F26/Datos_EUR_Paises!E26-1,"")</f>
        <v>2.6149160694950879E-2</v>
      </c>
      <c r="F26" s="9">
        <f>IFERROR(Datos_EUR_Paises!G26/Datos_EUR_Paises!F26-1,"")</f>
        <v>4.8799853038022922E-2</v>
      </c>
      <c r="G26" s="9">
        <f>IFERROR(Datos_EUR_Paises!H26/Datos_EUR_Paises!G26-1,"")</f>
        <v>3.2463148288163435E-2</v>
      </c>
      <c r="H26" s="9">
        <f>IFERROR(Datos_EUR_Paises!I26/Datos_EUR_Paises!H26-1,"")</f>
        <v>2.9444586985479138E-2</v>
      </c>
      <c r="I26" s="9">
        <f>IFERROR(Datos_EUR_Paises!J26/Datos_EUR_Paises!I26-1,"")</f>
        <v>4.5243807481090803E-2</v>
      </c>
      <c r="J26" s="9">
        <f>IFERROR(Datos_EUR_Paises!K26/Datos_EUR_Paises!J26-1,"")</f>
        <v>2.3910222960281891E-2</v>
      </c>
      <c r="K26" s="9">
        <f>IFERROR(Datos_EUR_Paises!L26/Datos_EUR_Paises!K26-1,"")</f>
        <v>1.7090273625858021E-2</v>
      </c>
      <c r="L26" s="9">
        <f>IFERROR(Datos_EUR_Paises!M26/Datos_EUR_Paises!L26-1,"")</f>
        <v>3.2185161266959694E-2</v>
      </c>
      <c r="M26" s="9">
        <f>IFERROR(Datos_EUR_Paises!N26/Datos_EUR_Paises!M26-1,"")</f>
        <v>2.3260185332601324E-2</v>
      </c>
      <c r="N26" s="9">
        <f>IFERROR(Datos_EUR_Paises!O26/Datos_EUR_Paises!N26-1,"")</f>
        <v>2.790654717468688E-2</v>
      </c>
      <c r="O26" s="9">
        <f>IFERROR(Datos_EUR_Paises!P26/Datos_EUR_Paises!O26-1,"")</f>
        <v>2.1898213241569264E-2</v>
      </c>
      <c r="P26" s="9">
        <f>IFERROR(Datos_EUR_Paises!Q26/Datos_EUR_Paises!P26-1,"")</f>
        <v>2.9309113358233718E-2</v>
      </c>
      <c r="Q26" s="9">
        <f>IFERROR(Datos_EUR_Paises!R26/Datos_EUR_Paises!Q26-1,"")</f>
        <v>-4.9411672740229395E-4</v>
      </c>
      <c r="R26" s="9">
        <f>IFERROR(Datos_EUR_Paises!S26/Datos_EUR_Paises!R26-1,"")</f>
        <v>-4.5874081922631982E-2</v>
      </c>
      <c r="S26" s="9">
        <f>IFERROR(Datos_EUR_Paises!T26/Datos_EUR_Paises!S26-1,"")</f>
        <v>2.2605446093161508E-2</v>
      </c>
      <c r="T26" s="9">
        <f>IFERROR(Datos_EUR_Paises!U26/Datos_EUR_Paises!T26-1,"")</f>
        <v>8.5143773901996678E-3</v>
      </c>
      <c r="U26" s="9">
        <f>IFERROR(Datos_EUR_Paises!V26/Datos_EUR_Paises!U26-1,"")</f>
        <v>1.5282603472185574E-2</v>
      </c>
      <c r="V26" s="9">
        <f>IFERROR(Datos_EUR_Paises!W26/Datos_EUR_Paises!V26-1,"")</f>
        <v>1.7184696130849053E-2</v>
      </c>
      <c r="W26" s="9">
        <f>IFERROR(Datos_EUR_Paises!X26/Datos_EUR_Paises!W26-1,"")</f>
        <v>3.1601735146813636E-2</v>
      </c>
      <c r="X26" s="9">
        <f>IFERROR(Datos_EUR_Paises!Y26/Datos_EUR_Paises!X26-1,"")</f>
        <v>2.1404056003337502E-2</v>
      </c>
      <c r="Y26" s="9">
        <f>IFERROR(Datos_EUR_Paises!Z26/Datos_EUR_Paises!Y26-1,"")</f>
        <v>2.2065202063535461E-2</v>
      </c>
      <c r="Z26" s="9">
        <f>IFERROR(Datos_EUR_Paises!AA26/Datos_EUR_Paises!Z26-1,"")</f>
        <v>3.023222198403519E-2</v>
      </c>
      <c r="AA26" s="9">
        <f>IFERROR(Datos_EUR_Paises!AB26/Datos_EUR_Paises!AA26-1,"")</f>
        <v>1.5513309507876105E-2</v>
      </c>
      <c r="AB26" s="9">
        <f>IFERROR(Datos_EUR_Paises!AC26/Datos_EUR_Paises!AB26-1,"")</f>
        <v>1.2562989976083072E-2</v>
      </c>
      <c r="AC26" s="9">
        <f>IFERROR(Datos_EUR_Paises!AD26/Datos_EUR_Paises!AC26-1,"")</f>
        <v>-0.10047896637361886</v>
      </c>
      <c r="AD26" s="9">
        <f>IFERROR(Datos_EUR_Paises!AE26/Datos_EUR_Paises!AD26-1,"")</f>
        <v>8.5431118453255461E-2</v>
      </c>
      <c r="AE26" s="9">
        <f>IFERROR(Datos_EUR_Paises!AF26/Datos_EUR_Paises!AE26-1,"")</f>
        <v>5.1497038852297061E-2</v>
      </c>
      <c r="AF26" s="9">
        <f>IFERROR(Datos_EUR_Paises!AG26/Datos_EUR_Paises!AF26-1,"")</f>
        <v>2.716500483552986E-3</v>
      </c>
      <c r="AG26" s="9">
        <f>IFERROR(Datos_EUR_Paises!AH26/Datos_EUR_Paises!AG26-1,"")</f>
        <v>1.1264226705119507E-2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7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10" defaultColWidth="8.6328125" defaultRowHeight="14.5" x14ac:dyDescent="0.35"/>
  <cols>
    <col min="1" max="1" width="26" customWidth="1"/>
    <col min="2" max="32" width="10" customWidth="1"/>
  </cols>
  <sheetData>
    <row r="1" spans="1:32" ht="17.25" customHeight="1" x14ac:dyDescent="0.4">
      <c r="A1" s="3" t="s">
        <v>113</v>
      </c>
    </row>
    <row r="2" spans="1:32" ht="15" customHeight="1" x14ac:dyDescent="0.35">
      <c r="A2" s="4" t="s">
        <v>114</v>
      </c>
    </row>
    <row r="4" spans="1:32" ht="15" customHeight="1" x14ac:dyDescent="0.35">
      <c r="A4" s="7" t="s">
        <v>3</v>
      </c>
      <c r="B4" s="7" t="s">
        <v>34</v>
      </c>
      <c r="C4" s="7" t="s">
        <v>35</v>
      </c>
      <c r="D4" s="7" t="s">
        <v>36</v>
      </c>
      <c r="E4" s="7" t="s">
        <v>37</v>
      </c>
      <c r="F4" s="7" t="s">
        <v>38</v>
      </c>
      <c r="G4" s="7" t="s">
        <v>39</v>
      </c>
      <c r="H4" s="7" t="s">
        <v>5</v>
      </c>
      <c r="I4" s="7" t="s">
        <v>40</v>
      </c>
      <c r="J4" s="7" t="s">
        <v>41</v>
      </c>
      <c r="K4" s="7" t="s">
        <v>42</v>
      </c>
      <c r="L4" s="7" t="s">
        <v>43</v>
      </c>
      <c r="M4" s="7" t="s">
        <v>44</v>
      </c>
      <c r="N4" s="7" t="s">
        <v>45</v>
      </c>
      <c r="O4" s="7" t="s">
        <v>46</v>
      </c>
      <c r="P4" s="7" t="s">
        <v>6</v>
      </c>
      <c r="Q4" s="7" t="s">
        <v>7</v>
      </c>
      <c r="R4" s="7" t="s">
        <v>47</v>
      </c>
      <c r="S4" s="7" t="s">
        <v>48</v>
      </c>
      <c r="T4" s="7" t="s">
        <v>49</v>
      </c>
      <c r="U4" s="7" t="s">
        <v>50</v>
      </c>
      <c r="V4" s="7" t="s">
        <v>51</v>
      </c>
      <c r="W4" s="7" t="s">
        <v>52</v>
      </c>
      <c r="X4" s="7" t="s">
        <v>53</v>
      </c>
      <c r="Y4" s="7" t="s">
        <v>54</v>
      </c>
      <c r="Z4" s="7" t="s">
        <v>55</v>
      </c>
      <c r="AA4" s="7" t="s">
        <v>56</v>
      </c>
      <c r="AB4" s="7" t="s">
        <v>8</v>
      </c>
      <c r="AC4" s="7" t="s">
        <v>57</v>
      </c>
      <c r="AD4" s="7" t="s">
        <v>58</v>
      </c>
      <c r="AE4" s="7" t="s">
        <v>59</v>
      </c>
      <c r="AF4" s="7" t="s">
        <v>9</v>
      </c>
    </row>
    <row r="5" spans="1:32" ht="15" customHeight="1" x14ac:dyDescent="0.35">
      <c r="A5" s="21" t="s">
        <v>10</v>
      </c>
      <c r="B5" s="9">
        <f>Bloques_EUR!C5/Bloques_EUR!B5-1</f>
        <v>2.5152716869524028E-2</v>
      </c>
      <c r="C5" s="9">
        <f>Bloques_EUR!D5/Bloques_EUR!C5-1</f>
        <v>2.4693880197826035E-2</v>
      </c>
      <c r="D5" s="9">
        <f>Bloques_EUR!E5/Bloques_EUR!D5-1</f>
        <v>1.742798751004071E-2</v>
      </c>
      <c r="E5" s="9">
        <f>Bloques_EUR!F5/Bloques_EUR!E5-1</f>
        <v>2.7638663533175789E-2</v>
      </c>
      <c r="F5" s="9">
        <f>Bloques_EUR!G5/Bloques_EUR!F5-1</f>
        <v>3.0004642735586229E-2</v>
      </c>
      <c r="G5" s="9">
        <f>Bloques_EUR!H5/Bloques_EUR!G5-1</f>
        <v>3.0099430531790761E-2</v>
      </c>
      <c r="H5" s="9">
        <f>Bloques_EUR!I5/Bloques_EUR!H5-1</f>
        <v>3.9014135820355733E-2</v>
      </c>
      <c r="I5" s="9">
        <f>Bloques_EUR!J5/Bloques_EUR!I5-1</f>
        <v>2.1850985515340371E-2</v>
      </c>
      <c r="J5" s="9">
        <f>Bloques_EUR!K5/Bloques_EUR!J5-1</f>
        <v>9.4676685809778061E-3</v>
      </c>
      <c r="K5" s="9">
        <f>Bloques_EUR!L5/Bloques_EUR!K5-1</f>
        <v>7.5319113715035524E-3</v>
      </c>
      <c r="L5" s="9">
        <f>Bloques_EUR!M5/Bloques_EUR!L5-1</f>
        <v>2.3118746258205425E-2</v>
      </c>
      <c r="M5" s="9">
        <f>Bloques_EUR!N5/Bloques_EUR!M5-1</f>
        <v>1.7716671708693177E-2</v>
      </c>
      <c r="N5" s="9">
        <f>Bloques_EUR!O5/Bloques_EUR!N5-1</f>
        <v>3.3245713619374451E-2</v>
      </c>
      <c r="O5" s="9">
        <f>Bloques_EUR!P5/Bloques_EUR!O5-1</f>
        <v>3.0111684835176122E-2</v>
      </c>
      <c r="P5" s="9">
        <f>Bloques_EUR!Q5/Bloques_EUR!P5-1</f>
        <v>4.1053124637402405E-3</v>
      </c>
      <c r="Q5" s="9">
        <f>Bloques_EUR!R5/Bloques_EUR!Q5-1</f>
        <v>-4.4827662720710038E-2</v>
      </c>
      <c r="R5" s="9">
        <f>Bloques_EUR!S5/Bloques_EUR!R5-1</f>
        <v>2.118231291952255E-2</v>
      </c>
      <c r="S5" s="9">
        <f>Bloques_EUR!T5/Bloques_EUR!S5-1</f>
        <v>1.7775447306567438E-2</v>
      </c>
      <c r="T5" s="9">
        <f>Bloques_EUR!U5/Bloques_EUR!T5-1</f>
        <v>-9.2085675556030644E-3</v>
      </c>
      <c r="U5" s="9">
        <f>Bloques_EUR!V5/Bloques_EUR!U5-1</f>
        <v>-1.6672488041091782E-3</v>
      </c>
      <c r="V5" s="9">
        <f>Bloques_EUR!W5/Bloques_EUR!V5-1</f>
        <v>1.455875462233136E-2</v>
      </c>
      <c r="W5" s="9">
        <f>Bloques_EUR!X5/Bloques_EUR!W5-1</f>
        <v>2.1436536739397605E-2</v>
      </c>
      <c r="X5" s="9">
        <f>Bloques_EUR!Y5/Bloques_EUR!X5-1</f>
        <v>1.8015811277539928E-2</v>
      </c>
      <c r="Y5" s="9">
        <f>Bloques_EUR!Z5/Bloques_EUR!Y5-1</f>
        <v>2.622625904993714E-2</v>
      </c>
      <c r="Z5" s="9">
        <f>Bloques_EUR!AA5/Bloques_EUR!Z5-1</f>
        <v>1.7799113087993979E-2</v>
      </c>
      <c r="AA5" s="9">
        <f>Bloques_EUR!AB5/Bloques_EUR!AA5-1</f>
        <v>1.6226318103384152E-2</v>
      </c>
      <c r="AB5" s="9">
        <f>Bloques_EUR!AC5/Bloques_EUR!AB5-1</f>
        <v>-6.0567442505212843E-2</v>
      </c>
      <c r="AC5" s="9">
        <f>Bloques_EUR!AD5/Bloques_EUR!AC5-1</f>
        <v>6.4371375548619048E-2</v>
      </c>
      <c r="AD5" s="9">
        <f>Bloques_EUR!AE5/Bloques_EUR!AD5-1</f>
        <v>3.6592192433757331E-2</v>
      </c>
      <c r="AE5" s="9">
        <f>Bloques_EUR!AF5/Bloques_EUR!AE5-1</f>
        <v>4.7340552222658872E-3</v>
      </c>
      <c r="AF5" s="9">
        <f>Bloques_EUR!AG5/Bloques_EUR!AF5-1</f>
        <v>9.1191015733769198E-3</v>
      </c>
    </row>
    <row r="6" spans="1:32" ht="15" customHeight="1" x14ac:dyDescent="0.35">
      <c r="A6" s="21" t="s">
        <v>11</v>
      </c>
      <c r="B6" s="9">
        <f>Bloques_EUR!C6/Bloques_EUR!B6-1</f>
        <v>4.0290227298337866E-2</v>
      </c>
      <c r="C6" s="9">
        <f>Bloques_EUR!D6/Bloques_EUR!C6-1</f>
        <v>2.6844307317790417E-2</v>
      </c>
      <c r="D6" s="9">
        <f>Bloques_EUR!E6/Bloques_EUR!D6-1</f>
        <v>3.7727726911943815E-2</v>
      </c>
      <c r="E6" s="9">
        <f>Bloques_EUR!F6/Bloques_EUR!E6-1</f>
        <v>4.4471279356646631E-2</v>
      </c>
      <c r="F6" s="9">
        <f>Bloques_EUR!G6/Bloques_EUR!F6-1</f>
        <v>4.4831333537461271E-2</v>
      </c>
      <c r="G6" s="9">
        <f>Bloques_EUR!H6/Bloques_EUR!G6-1</f>
        <v>4.7884250472522538E-2</v>
      </c>
      <c r="H6" s="9">
        <f>Bloques_EUR!I6/Bloques_EUR!H6-1</f>
        <v>4.0775857568278839E-2</v>
      </c>
      <c r="I6" s="9">
        <f>Bloques_EUR!J6/Bloques_EUR!I6-1</f>
        <v>9.5553834834167795E-3</v>
      </c>
      <c r="J6" s="9">
        <f>Bloques_EUR!K6/Bloques_EUR!J6-1</f>
        <v>1.7004473264373487E-2</v>
      </c>
      <c r="K6" s="9">
        <f>Bloques_EUR!L6/Bloques_EUR!K6-1</f>
        <v>2.7956059632011421E-2</v>
      </c>
      <c r="L6" s="9">
        <f>Bloques_EUR!M6/Bloques_EUR!L6-1</f>
        <v>3.8477716955693353E-2</v>
      </c>
      <c r="M6" s="9">
        <f>Bloques_EUR!N6/Bloques_EUR!M6-1</f>
        <v>3.4835499355557742E-2</v>
      </c>
      <c r="N6" s="9">
        <f>Bloques_EUR!O6/Bloques_EUR!N6-1</f>
        <v>2.784539636506933E-2</v>
      </c>
      <c r="O6" s="9">
        <f>Bloques_EUR!P6/Bloques_EUR!O6-1</f>
        <v>2.0038582978496144E-2</v>
      </c>
      <c r="P6" s="9">
        <f>Bloques_EUR!Q6/Bloques_EUR!P6-1</f>
        <v>1.1358724988150826E-3</v>
      </c>
      <c r="Q6" s="9">
        <f>Bloques_EUR!R6/Bloques_EUR!Q6-1</f>
        <v>-2.5765002295838668E-2</v>
      </c>
      <c r="R6" s="9">
        <f>Bloques_EUR!S6/Bloques_EUR!R6-1</f>
        <v>2.695192577445038E-2</v>
      </c>
      <c r="S6" s="9">
        <f>Bloques_EUR!T6/Bloques_EUR!S6-1</f>
        <v>1.5644068576349035E-2</v>
      </c>
      <c r="T6" s="9">
        <f>Bloques_EUR!U6/Bloques_EUR!T6-1</f>
        <v>2.2891133866985047E-2</v>
      </c>
      <c r="U6" s="9">
        <f>Bloques_EUR!V6/Bloques_EUR!U6-1</f>
        <v>2.1178300979002085E-2</v>
      </c>
      <c r="V6" s="9">
        <f>Bloques_EUR!W6/Bloques_EUR!V6-1</f>
        <v>2.5238198136398937E-2</v>
      </c>
      <c r="W6" s="9">
        <f>Bloques_EUR!X6/Bloques_EUR!W6-1</f>
        <v>2.9455504548404177E-2</v>
      </c>
      <c r="X6" s="9">
        <f>Bloques_EUR!Y6/Bloques_EUR!X6-1</f>
        <v>1.8194514778818505E-2</v>
      </c>
      <c r="Y6" s="9">
        <f>Bloques_EUR!Z6/Bloques_EUR!Y6-1</f>
        <v>2.4576222985250196E-2</v>
      </c>
      <c r="Z6" s="9">
        <f>Bloques_EUR!AA6/Bloques_EUR!Z6-1</f>
        <v>2.9665050690131034E-2</v>
      </c>
      <c r="AA6" s="9">
        <f>Bloques_EUR!AB6/Bloques_EUR!AA6-1</f>
        <v>2.5838253341281758E-2</v>
      </c>
      <c r="AB6" s="9">
        <f>Bloques_EUR!AC6/Bloques_EUR!AB6-1</f>
        <v>-2.1630291403614943E-2</v>
      </c>
      <c r="AC6" s="9">
        <f>Bloques_EUR!AD6/Bloques_EUR!AC6-1</f>
        <v>6.0550529324452373E-2</v>
      </c>
      <c r="AD6" s="9">
        <f>Bloques_EUR!AE6/Bloques_EUR!AD6-1</f>
        <v>2.5123753198602161E-2</v>
      </c>
      <c r="AE6" s="9">
        <f>Bloques_EUR!AF6/Bloques_EUR!AE6-1</f>
        <v>2.8875560074946849E-2</v>
      </c>
      <c r="AF6" s="9">
        <f>Bloques_EUR!AG6/Bloques_EUR!AF6-1</f>
        <v>2.7930012771678836E-2</v>
      </c>
    </row>
    <row r="7" spans="1:32" ht="15" customHeight="1" x14ac:dyDescent="0.35">
      <c r="A7" s="21" t="s">
        <v>12</v>
      </c>
      <c r="B7" s="9">
        <f>Bloques_EUR!C7/Bloques_EUR!B7-1</f>
        <v>4.9534109280070737E-2</v>
      </c>
      <c r="C7" s="9">
        <f>Bloques_EUR!D7/Bloques_EUR!C7-1</f>
        <v>3.5333909633803229E-2</v>
      </c>
      <c r="D7" s="9">
        <f>Bloques_EUR!E7/Bloques_EUR!D7-1</f>
        <v>2.6149160694950879E-2</v>
      </c>
      <c r="E7" s="9">
        <f>Bloques_EUR!F7/Bloques_EUR!E7-1</f>
        <v>4.8799853038022922E-2</v>
      </c>
      <c r="F7" s="9">
        <f>Bloques_EUR!G7/Bloques_EUR!F7-1</f>
        <v>3.2463148288163435E-2</v>
      </c>
      <c r="G7" s="9">
        <f>Bloques_EUR!H7/Bloques_EUR!G7-1</f>
        <v>2.9444586985479138E-2</v>
      </c>
      <c r="H7" s="9">
        <f>Bloques_EUR!I7/Bloques_EUR!H7-1</f>
        <v>4.5243807481090803E-2</v>
      </c>
      <c r="I7" s="9">
        <f>Bloques_EUR!J7/Bloques_EUR!I7-1</f>
        <v>2.3910222960281891E-2</v>
      </c>
      <c r="J7" s="9">
        <f>Bloques_EUR!K7/Bloques_EUR!J7-1</f>
        <v>1.7090273625858021E-2</v>
      </c>
      <c r="K7" s="9">
        <f>Bloques_EUR!L7/Bloques_EUR!K7-1</f>
        <v>3.2185161266959694E-2</v>
      </c>
      <c r="L7" s="9">
        <f>Bloques_EUR!M7/Bloques_EUR!L7-1</f>
        <v>2.3260185332601324E-2</v>
      </c>
      <c r="M7" s="9">
        <f>Bloques_EUR!N7/Bloques_EUR!M7-1</f>
        <v>2.790654717468688E-2</v>
      </c>
      <c r="N7" s="9">
        <f>Bloques_EUR!O7/Bloques_EUR!N7-1</f>
        <v>2.1898213241569264E-2</v>
      </c>
      <c r="O7" s="9">
        <f>Bloques_EUR!P7/Bloques_EUR!O7-1</f>
        <v>2.9309113358233718E-2</v>
      </c>
      <c r="P7" s="9">
        <f>Bloques_EUR!Q7/Bloques_EUR!P7-1</f>
        <v>-4.9411672740229395E-4</v>
      </c>
      <c r="Q7" s="9">
        <f>Bloques_EUR!R7/Bloques_EUR!Q7-1</f>
        <v>-4.5874081922631982E-2</v>
      </c>
      <c r="R7" s="9">
        <f>Bloques_EUR!S7/Bloques_EUR!R7-1</f>
        <v>2.2605446093161508E-2</v>
      </c>
      <c r="S7" s="9">
        <f>Bloques_EUR!T7/Bloques_EUR!S7-1</f>
        <v>8.5143773901996678E-3</v>
      </c>
      <c r="T7" s="9">
        <f>Bloques_EUR!U7/Bloques_EUR!T7-1</f>
        <v>1.5282603472185574E-2</v>
      </c>
      <c r="U7" s="9">
        <f>Bloques_EUR!V7/Bloques_EUR!U7-1</f>
        <v>1.7184696130849053E-2</v>
      </c>
      <c r="V7" s="9">
        <f>Bloques_EUR!W7/Bloques_EUR!V7-1</f>
        <v>3.1601735146813636E-2</v>
      </c>
      <c r="W7" s="9">
        <f>Bloques_EUR!X7/Bloques_EUR!W7-1</f>
        <v>2.1404056003337502E-2</v>
      </c>
      <c r="X7" s="9">
        <f>Bloques_EUR!Y7/Bloques_EUR!X7-1</f>
        <v>2.2065202063535461E-2</v>
      </c>
      <c r="Y7" s="9">
        <f>Bloques_EUR!Z7/Bloques_EUR!Y7-1</f>
        <v>3.023222198403519E-2</v>
      </c>
      <c r="Z7" s="9">
        <f>Bloques_EUR!AA7/Bloques_EUR!Z7-1</f>
        <v>1.5513309507876105E-2</v>
      </c>
      <c r="AA7" s="9">
        <f>Bloques_EUR!AB7/Bloques_EUR!AA7-1</f>
        <v>1.2562989976083072E-2</v>
      </c>
      <c r="AB7" s="9">
        <f>Bloques_EUR!AC7/Bloques_EUR!AB7-1</f>
        <v>-0.10047896637361886</v>
      </c>
      <c r="AC7" s="9">
        <f>Bloques_EUR!AD7/Bloques_EUR!AC7-1</f>
        <v>8.5431118453255461E-2</v>
      </c>
      <c r="AD7" s="9">
        <f>Bloques_EUR!AE7/Bloques_EUR!AD7-1</f>
        <v>5.1497038852297061E-2</v>
      </c>
      <c r="AE7" s="9">
        <f>Bloques_EUR!AF7/Bloques_EUR!AE7-1</f>
        <v>2.716500483552986E-3</v>
      </c>
      <c r="AF7" s="9">
        <f>Bloques_EUR!AG7/Bloques_EUR!AF7-1</f>
        <v>1.1264226705119507E-2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34"/>
  <sheetViews>
    <sheetView zoomScaleNormal="100" workbookViewId="0">
      <selection activeCell="B6" sqref="B6"/>
    </sheetView>
  </sheetViews>
  <sheetFormatPr baseColWidth="10" defaultColWidth="8.6328125" defaultRowHeight="14.5" x14ac:dyDescent="0.35"/>
  <cols>
    <col min="1" max="1" width="22" customWidth="1"/>
    <col min="2" max="2" width="12" customWidth="1"/>
    <col min="3" max="9" width="15" customWidth="1"/>
  </cols>
  <sheetData>
    <row r="1" spans="1:9" ht="17.25" customHeight="1" x14ac:dyDescent="0.4">
      <c r="A1" s="3" t="s">
        <v>115</v>
      </c>
    </row>
    <row r="2" spans="1:9" ht="15" customHeight="1" x14ac:dyDescent="0.35">
      <c r="A2" s="4" t="s">
        <v>116</v>
      </c>
    </row>
    <row r="4" spans="1:9" ht="15" customHeight="1" x14ac:dyDescent="0.35">
      <c r="A4" s="1" t="s">
        <v>117</v>
      </c>
      <c r="B4" s="1"/>
      <c r="C4" s="1"/>
      <c r="D4" s="1"/>
      <c r="E4" s="1"/>
      <c r="F4" s="1"/>
      <c r="G4" s="1"/>
      <c r="H4" s="1"/>
      <c r="I4" s="1"/>
    </row>
    <row r="5" spans="1:9" ht="15" customHeight="1" x14ac:dyDescent="0.35">
      <c r="A5" s="7" t="s">
        <v>3</v>
      </c>
      <c r="B5" s="7" t="s">
        <v>14</v>
      </c>
      <c r="C5" s="7" t="s">
        <v>15</v>
      </c>
      <c r="D5" s="7" t="s">
        <v>16</v>
      </c>
      <c r="E5" s="7" t="s">
        <v>17</v>
      </c>
      <c r="F5" s="7" t="s">
        <v>18</v>
      </c>
      <c r="G5" s="7" t="s">
        <v>118</v>
      </c>
      <c r="H5" s="7" t="s">
        <v>119</v>
      </c>
      <c r="I5" s="7" t="s">
        <v>120</v>
      </c>
    </row>
    <row r="6" spans="1:9" ht="15" customHeight="1" x14ac:dyDescent="0.35">
      <c r="A6" s="5" t="s">
        <v>10</v>
      </c>
      <c r="B6" s="9">
        <f>AVERAGE(Crecimiento_Bloques!B5:AF5)</f>
        <v>1.5901500253237697E-2</v>
      </c>
      <c r="C6" s="9">
        <f>MEDIAN(Crecimiento_Bloques!B5:AF5)</f>
        <v>1.8015811277539928E-2</v>
      </c>
      <c r="D6" s="9">
        <f>MAX(Crecimiento_Bloques!B5:AF5)</f>
        <v>6.4371375548619048E-2</v>
      </c>
      <c r="E6" s="9">
        <f>MIN(Crecimiento_Bloques!B5:AF5)</f>
        <v>-6.0567442505212843E-2</v>
      </c>
      <c r="F6" s="9">
        <f>STDEV(Crecimiento_Bloques!B5:AF5)</f>
        <v>2.2864273405120351E-2</v>
      </c>
      <c r="G6" s="23">
        <f>F6/ABS(B6)</f>
        <v>1.4378689457596914</v>
      </c>
      <c r="H6" s="9">
        <f>(Bloques_EUR!AG5/Bloques_EUR!B5)^(1/31)-1</f>
        <v>1.564644218872191E-2</v>
      </c>
      <c r="I6" s="24">
        <f>D6-E6</f>
        <v>0.12493881805383189</v>
      </c>
    </row>
    <row r="7" spans="1:9" ht="15" customHeight="1" x14ac:dyDescent="0.35">
      <c r="A7" s="5" t="s">
        <v>11</v>
      </c>
      <c r="B7" s="9">
        <f>AVERAGE(Crecimiento_Bloques!B6:AF6)</f>
        <v>2.5625538785281048E-2</v>
      </c>
      <c r="C7" s="9">
        <f>MEDIAN(Crecimiento_Bloques!B6:AF6)</f>
        <v>2.695192577445038E-2</v>
      </c>
      <c r="D7" s="9">
        <f>MAX(Crecimiento_Bloques!B6:AF6)</f>
        <v>6.0550529324452373E-2</v>
      </c>
      <c r="E7" s="9">
        <f>MIN(Crecimiento_Bloques!B6:AF6)</f>
        <v>-2.5765002295838668E-2</v>
      </c>
      <c r="F7" s="9">
        <f>STDEV(Crecimiento_Bloques!B6:AF6)</f>
        <v>1.7665434869946664E-2</v>
      </c>
      <c r="G7" s="23">
        <f>F7/ABS(B7)</f>
        <v>0.68936832969511819</v>
      </c>
      <c r="H7" s="9">
        <f>(Bloques_EUR!AG6/Bloques_EUR!B6)^(1/31)-1</f>
        <v>2.5476334027237924E-2</v>
      </c>
      <c r="I7" s="24">
        <f>D7-E7</f>
        <v>8.6315531620291042E-2</v>
      </c>
    </row>
    <row r="8" spans="1:9" ht="15" customHeight="1" x14ac:dyDescent="0.35">
      <c r="A8" s="5" t="s">
        <v>12</v>
      </c>
      <c r="B8" s="9">
        <f>AVERAGE(Crecimiento_Bloques!B7:AF7)</f>
        <v>2.0759891922594212E-2</v>
      </c>
      <c r="C8" s="9">
        <f>MEDIAN(Crecimiento_Bloques!B7:AF7)</f>
        <v>2.3260185332601324E-2</v>
      </c>
      <c r="D8" s="9">
        <f>MAX(Crecimiento_Bloques!B7:AF7)</f>
        <v>8.5431118453255461E-2</v>
      </c>
      <c r="E8" s="9">
        <f>MIN(Crecimiento_Bloques!B7:AF7)</f>
        <v>-0.10047896637361886</v>
      </c>
      <c r="F8" s="9">
        <f>STDEV(Crecimiento_Bloques!B7:AF7)</f>
        <v>3.0869040671586544E-2</v>
      </c>
      <c r="G8" s="23">
        <f>F8/ABS(B8)</f>
        <v>1.4869557503808557</v>
      </c>
      <c r="H8" s="9">
        <f>(Bloques_EUR!AG7/Bloques_EUR!B7)^(1/31)-1</f>
        <v>2.0288360737379829E-2</v>
      </c>
      <c r="I8" s="24">
        <f>D8-E8</f>
        <v>0.18591008482687432</v>
      </c>
    </row>
    <row r="11" spans="1:9" ht="15" customHeight="1" x14ac:dyDescent="0.35">
      <c r="A11" s="1" t="s">
        <v>121</v>
      </c>
      <c r="B11" s="1"/>
      <c r="C11" s="1"/>
      <c r="D11" s="1"/>
      <c r="E11" s="1"/>
      <c r="F11" s="1"/>
      <c r="G11" s="1"/>
      <c r="H11" s="1"/>
      <c r="I11" s="1"/>
    </row>
    <row r="12" spans="1:9" ht="15" customHeight="1" x14ac:dyDescent="0.35">
      <c r="A12" s="7" t="s">
        <v>25</v>
      </c>
      <c r="B12" s="7" t="s">
        <v>3</v>
      </c>
      <c r="C12" s="7" t="s">
        <v>14</v>
      </c>
      <c r="D12" s="7" t="s">
        <v>15</v>
      </c>
      <c r="E12" s="7" t="s">
        <v>16</v>
      </c>
      <c r="F12" s="7" t="s">
        <v>17</v>
      </c>
      <c r="G12" s="7" t="s">
        <v>18</v>
      </c>
      <c r="H12" s="7" t="s">
        <v>118</v>
      </c>
      <c r="I12" s="7" t="s">
        <v>119</v>
      </c>
    </row>
    <row r="13" spans="1:9" ht="15" customHeight="1" x14ac:dyDescent="0.35">
      <c r="A13" s="17" t="s">
        <v>60</v>
      </c>
      <c r="B13" s="11" t="s">
        <v>10</v>
      </c>
      <c r="C13" s="9">
        <f>AVERAGE(Crecimiento_Paises!C5:AG5)</f>
        <v>1.2603957272511216E-2</v>
      </c>
      <c r="D13" s="9">
        <f>MEDIAN(Crecimiento_Paises!C5:AG5)</f>
        <v>1.6361417069095552E-2</v>
      </c>
      <c r="E13" s="9">
        <f>MAX(Crecimiento_Paises!C5:AG5)</f>
        <v>4.1346377852274463E-2</v>
      </c>
      <c r="F13" s="9">
        <f>MIN(Crecimiento_Paises!C5:AG5)</f>
        <v>-5.5445545192064682E-2</v>
      </c>
      <c r="G13" s="9">
        <f>STDEV(Crecimiento_Paises!C5:AG5)</f>
        <v>2.0992806460217672E-2</v>
      </c>
      <c r="H13" s="23">
        <f t="shared" ref="H13:H34" si="0">G13/ABS(C13)</f>
        <v>1.6655726456644089</v>
      </c>
      <c r="I13" s="9">
        <f>(Datos_EUR_Paises!AH5/Datos_EUR_Paises!C5)^(1/31)-1</f>
        <v>1.2388894161404318E-2</v>
      </c>
    </row>
    <row r="14" spans="1:9" ht="15" customHeight="1" x14ac:dyDescent="0.35">
      <c r="A14" s="17" t="s">
        <v>62</v>
      </c>
      <c r="B14" s="11" t="s">
        <v>10</v>
      </c>
      <c r="C14" s="9">
        <f>AVERAGE(Crecimiento_Paises!C6:AG6)</f>
        <v>1.6744710030507943E-2</v>
      </c>
      <c r="D14" s="9">
        <f>MEDIAN(Crecimiento_Paises!C6:AG6)</f>
        <v>2.1458350552645999E-2</v>
      </c>
      <c r="E14" s="9">
        <f>MAX(Crecimiento_Paises!C6:AG6)</f>
        <v>5.3309637940037291E-2</v>
      </c>
      <c r="F14" s="9">
        <f>MIN(Crecimiento_Paises!C6:AG6)</f>
        <v>-6.3182550920994007E-2</v>
      </c>
      <c r="G14" s="9">
        <f>STDEV(Crecimiento_Paises!C6:AG6)</f>
        <v>2.2819927908626456E-2</v>
      </c>
      <c r="H14" s="23">
        <f t="shared" si="0"/>
        <v>1.3628141584446549</v>
      </c>
      <c r="I14" s="9">
        <f>(Datos_EUR_Paises!AH6/Datos_EUR_Paises!C6)^(1/31)-1</f>
        <v>1.6490531375757955E-2</v>
      </c>
    </row>
    <row r="15" spans="1:9" ht="15" customHeight="1" x14ac:dyDescent="0.35">
      <c r="A15" s="17" t="s">
        <v>64</v>
      </c>
      <c r="B15" s="11" t="s">
        <v>10</v>
      </c>
      <c r="C15" s="9">
        <f>AVERAGE(Crecimiento_Paises!C7:AG7)</f>
        <v>1.8725419555621653E-2</v>
      </c>
      <c r="D15" s="9">
        <f>MEDIAN(Crecimiento_Paises!C7:AG7)</f>
        <v>1.877968473835856E-2</v>
      </c>
      <c r="E15" s="9">
        <f>MAX(Crecimiento_Paises!C7:AG7)</f>
        <v>6.2544568646659693E-2</v>
      </c>
      <c r="F15" s="9">
        <f>MIN(Crecimiento_Paises!C7:AG7)</f>
        <v>-4.7929839083519332E-2</v>
      </c>
      <c r="G15" s="9">
        <f>STDEV(Crecimiento_Paises!C7:AG7)</f>
        <v>1.9355517883604925E-2</v>
      </c>
      <c r="H15" s="23">
        <f t="shared" si="0"/>
        <v>1.0336493570203669</v>
      </c>
      <c r="I15" s="9">
        <f>(Datos_EUR_Paises!AH7/Datos_EUR_Paises!C7)^(1/31)-1</f>
        <v>1.8544819009392421E-2</v>
      </c>
    </row>
    <row r="16" spans="1:9" ht="15" customHeight="1" x14ac:dyDescent="0.35">
      <c r="A16" s="17" t="s">
        <v>66</v>
      </c>
      <c r="B16" s="11" t="s">
        <v>10</v>
      </c>
      <c r="C16" s="9">
        <f>AVERAGE(Crecimiento_Paises!C8:AG8)</f>
        <v>3.5367112774059337E-2</v>
      </c>
      <c r="D16" s="9">
        <f>MEDIAN(Crecimiento_Paises!C8:AG8)</f>
        <v>3.9525625820089338E-2</v>
      </c>
      <c r="E16" s="9">
        <f>MAX(Crecimiento_Paises!C8:AG8)</f>
        <v>0.1139755908015132</v>
      </c>
      <c r="F16" s="9">
        <f>MIN(Crecimiento_Paises!C8:AG8)</f>
        <v>-6.5874775111833483E-2</v>
      </c>
      <c r="G16" s="9">
        <f>STDEV(Crecimiento_Paises!C8:AG8)</f>
        <v>3.8174384059388902E-2</v>
      </c>
      <c r="H16" s="23">
        <f t="shared" si="0"/>
        <v>1.0793751896928554</v>
      </c>
      <c r="I16" s="9">
        <f>(Datos_EUR_Paises!AH8/Datos_EUR_Paises!C8)^(1/31)-1</f>
        <v>3.4672403110761918E-2</v>
      </c>
    </row>
    <row r="17" spans="1:9" ht="15" customHeight="1" x14ac:dyDescent="0.35">
      <c r="A17" s="17" t="s">
        <v>68</v>
      </c>
      <c r="B17" s="11" t="s">
        <v>10</v>
      </c>
      <c r="C17" s="9">
        <f>AVERAGE(Crecimiento_Paises!C9:AG9)</f>
        <v>2.8199172653988219E-2</v>
      </c>
      <c r="D17" s="9">
        <f>MEDIAN(Crecimiento_Paises!C9:AG9)</f>
        <v>3.2839632164302079E-2</v>
      </c>
      <c r="E17" s="9">
        <f>MAX(Crecimiento_Paises!C9:AG9)</f>
        <v>0.1263221903510241</v>
      </c>
      <c r="F17" s="9">
        <f>MIN(Crecimiento_Paises!C9:AG9)</f>
        <v>-8.310864015011965E-2</v>
      </c>
      <c r="G17" s="9">
        <f>STDEV(Crecimiento_Paises!C9:AG9)</f>
        <v>4.0799604204171599E-2</v>
      </c>
      <c r="H17" s="23">
        <f t="shared" si="0"/>
        <v>1.4468369233663065</v>
      </c>
      <c r="I17" s="9">
        <f>(Datos_EUR_Paises!AH9/Datos_EUR_Paises!C9)^(1/31)-1</f>
        <v>2.7399728852526062E-2</v>
      </c>
    </row>
    <row r="18" spans="1:9" ht="15" customHeight="1" x14ac:dyDescent="0.35">
      <c r="A18" s="17" t="s">
        <v>70</v>
      </c>
      <c r="B18" s="11" t="s">
        <v>10</v>
      </c>
      <c r="C18" s="9">
        <f>AVERAGE(Crecimiento_Paises!C10:AG10)</f>
        <v>3.5422440374388561E-2</v>
      </c>
      <c r="D18" s="9">
        <f>MEDIAN(Crecimiento_Paises!C10:AG10)</f>
        <v>3.8261077356060991E-2</v>
      </c>
      <c r="E18" s="9">
        <f>MAX(Crecimiento_Paises!C10:AG10)</f>
        <v>0.10818629507490329</v>
      </c>
      <c r="F18" s="9">
        <f>MIN(Crecimiento_Paises!C10:AG10)</f>
        <v>-5.5053379097222077E-2</v>
      </c>
      <c r="G18" s="9">
        <f>STDEV(Crecimiento_Paises!C10:AG10)</f>
        <v>3.2452704620776235E-2</v>
      </c>
      <c r="H18" s="23">
        <f t="shared" si="0"/>
        <v>0.91616230496192663</v>
      </c>
      <c r="I18" s="9">
        <f>(Datos_EUR_Paises!AH10/Datos_EUR_Paises!C10)^(1/31)-1</f>
        <v>3.4924999970781911E-2</v>
      </c>
    </row>
    <row r="19" spans="1:9" ht="15" customHeight="1" x14ac:dyDescent="0.35">
      <c r="A19" s="17" t="s">
        <v>72</v>
      </c>
      <c r="B19" s="11" t="s">
        <v>10</v>
      </c>
      <c r="C19" s="9">
        <f>AVERAGE(Crecimiento_Paises!C11:AG11)</f>
        <v>2.7829232458259495E-2</v>
      </c>
      <c r="D19" s="9">
        <f>MEDIAN(Crecimiento_Paises!C11:AG11)</f>
        <v>3.1950311723604186E-2</v>
      </c>
      <c r="E19" s="9">
        <f>MAX(Crecimiento_Paises!C11:AG11)</f>
        <v>8.4168645772533468E-2</v>
      </c>
      <c r="F19" s="9">
        <f>MIN(Crecimiento_Paises!C11:AG11)</f>
        <v>-7.5905861404639396E-2</v>
      </c>
      <c r="G19" s="9">
        <f>STDEV(Crecimiento_Paises!C11:AG11)</f>
        <v>3.1837898028870638E-2</v>
      </c>
      <c r="H19" s="23">
        <f t="shared" si="0"/>
        <v>1.14404513587012</v>
      </c>
      <c r="I19" s="9">
        <f>(Datos_EUR_Paises!AH11/Datos_EUR_Paises!C11)^(1/31)-1</f>
        <v>2.7337370202670019E-2</v>
      </c>
    </row>
    <row r="20" spans="1:9" ht="15" customHeight="1" x14ac:dyDescent="0.35">
      <c r="A20" s="17" t="s">
        <v>74</v>
      </c>
      <c r="B20" s="11" t="s">
        <v>10</v>
      </c>
      <c r="C20" s="9">
        <f>AVERAGE(Crecimiento_Paises!C12:AG12)</f>
        <v>2.0981565459459478E-2</v>
      </c>
      <c r="D20" s="9">
        <f>MEDIAN(Crecimiento_Paises!C12:AG12)</f>
        <v>2.8960420786497965E-2</v>
      </c>
      <c r="E20" s="9">
        <f>MAX(Crecimiento_Paises!C12:AG12)</f>
        <v>6.683144204729996E-2</v>
      </c>
      <c r="F20" s="9">
        <f>MIN(Crecimiento_Paises!C12:AG12)</f>
        <v>-0.10940070635036925</v>
      </c>
      <c r="G20" s="9">
        <f>STDEV(Crecimiento_Paises!C12:AG12)</f>
        <v>3.3558853543599845E-2</v>
      </c>
      <c r="H20" s="23">
        <f t="shared" si="0"/>
        <v>1.5994446938881739</v>
      </c>
      <c r="I20" s="9">
        <f>(Datos_EUR_Paises!AH12/Datos_EUR_Paises!C12)^(1/31)-1</f>
        <v>2.0421050745039526E-2</v>
      </c>
    </row>
    <row r="21" spans="1:9" ht="15" customHeight="1" x14ac:dyDescent="0.35">
      <c r="A21" s="17" t="s">
        <v>76</v>
      </c>
      <c r="B21" s="11" t="s">
        <v>10</v>
      </c>
      <c r="C21" s="9">
        <f>AVERAGE(Crecimiento_Paises!C13:AG13)</f>
        <v>3.461366137241232E-2</v>
      </c>
      <c r="D21" s="9">
        <f>MEDIAN(Crecimiento_Paises!C13:AG13)</f>
        <v>3.7266494346688939E-2</v>
      </c>
      <c r="E21" s="9">
        <f>MAX(Crecimiento_Paises!C13:AG13)</f>
        <v>0.13050020704786247</v>
      </c>
      <c r="F21" s="9">
        <f>MIN(Crecimiento_Paises!C13:AG13)</f>
        <v>-0.14630222542790494</v>
      </c>
      <c r="G21" s="9">
        <f>STDEV(Crecimiento_Paises!C13:AG13)</f>
        <v>5.4368112162875779E-2</v>
      </c>
      <c r="H21" s="23">
        <f t="shared" si="0"/>
        <v>1.5707125454866815</v>
      </c>
      <c r="I21" s="9">
        <f>(Datos_EUR_Paises!AH13/Datos_EUR_Paises!C13)^(1/31)-1</f>
        <v>3.3167888954219071E-2</v>
      </c>
    </row>
    <row r="22" spans="1:9" ht="15" customHeight="1" x14ac:dyDescent="0.35">
      <c r="A22" s="17" t="s">
        <v>78</v>
      </c>
      <c r="B22" s="11" t="s">
        <v>10</v>
      </c>
      <c r="C22" s="9">
        <f>AVERAGE(Crecimiento_Paises!C14:AG14)</f>
        <v>1.9647492363659973E-2</v>
      </c>
      <c r="D22" s="9">
        <f>MEDIAN(Crecimiento_Paises!C14:AG14)</f>
        <v>2.5719341489872871E-2</v>
      </c>
      <c r="E22" s="9">
        <f>MAX(Crecimiento_Paises!C14:AG14)</f>
        <v>6.3977006840431505E-2</v>
      </c>
      <c r="F22" s="9">
        <f>MIN(Crecimiento_Paises!C14:AG14)</f>
        <v>-8.0760311655241002E-2</v>
      </c>
      <c r="G22" s="9">
        <f>STDEV(Crecimiento_Paises!C14:AG14)</f>
        <v>2.9071272660948787E-2</v>
      </c>
      <c r="H22" s="23">
        <f t="shared" si="0"/>
        <v>1.479642904186544</v>
      </c>
      <c r="I22" s="9">
        <f>(Datos_EUR_Paises!AH14/Datos_EUR_Paises!C14)^(1/31)-1</f>
        <v>1.9235868346730634E-2</v>
      </c>
    </row>
    <row r="23" spans="1:9" ht="15" customHeight="1" x14ac:dyDescent="0.35">
      <c r="A23" s="17" t="s">
        <v>80</v>
      </c>
      <c r="B23" s="11" t="s">
        <v>10</v>
      </c>
      <c r="C23" s="9">
        <f>AVERAGE(Crecimiento_Paises!C15:AG15)</f>
        <v>1.6119594831462598E-2</v>
      </c>
      <c r="D23" s="9">
        <f>MEDIAN(Crecimiento_Paises!C15:AG15)</f>
        <v>1.8994670118661627E-2</v>
      </c>
      <c r="E23" s="9">
        <f>MAX(Crecimiento_Paises!C15:AG15)</f>
        <v>6.8823378336023255E-2</v>
      </c>
      <c r="F23" s="9">
        <f>MIN(Crecimiento_Paises!C15:AG15)</f>
        <v>-7.4406458994821678E-2</v>
      </c>
      <c r="G23" s="9">
        <f>STDEV(Crecimiento_Paises!C15:AG15)</f>
        <v>2.2876217993022908E-2</v>
      </c>
      <c r="H23" s="23">
        <f t="shared" si="0"/>
        <v>1.4191558927010111</v>
      </c>
      <c r="I23" s="9">
        <f>(Datos_EUR_Paises!AH15/Datos_EUR_Paises!C15)^(1/31)-1</f>
        <v>1.5862968769229546E-2</v>
      </c>
    </row>
    <row r="24" spans="1:9" ht="15" customHeight="1" x14ac:dyDescent="0.35">
      <c r="A24" s="17" t="s">
        <v>82</v>
      </c>
      <c r="B24" s="11" t="s">
        <v>10</v>
      </c>
      <c r="C24" s="9">
        <f>AVERAGE(Crecimiento_Paises!C16:AG16)</f>
        <v>1.1701582837730273E-2</v>
      </c>
      <c r="D24" s="9">
        <f>MEDIAN(Crecimiento_Paises!C16:AG16)</f>
        <v>2.0865743380601653E-2</v>
      </c>
      <c r="E24" s="9">
        <f>MAX(Crecimiento_Paises!C16:AG16)</f>
        <v>8.6544978600210154E-2</v>
      </c>
      <c r="F24" s="9">
        <f>MIN(Crecimiento_Paises!C16:AG16)</f>
        <v>-9.8767787530024687E-2</v>
      </c>
      <c r="G24" s="9">
        <f>STDEV(Crecimiento_Paises!C16:AG16)</f>
        <v>4.5123742983210938E-2</v>
      </c>
      <c r="H24" s="23">
        <f t="shared" si="0"/>
        <v>3.8562084812761519</v>
      </c>
      <c r="I24" s="9">
        <f>(Datos_EUR_Paises!AH16/Datos_EUR_Paises!C16)^(1/31)-1</f>
        <v>1.0694623318662444E-2</v>
      </c>
    </row>
    <row r="25" spans="1:9" ht="15" customHeight="1" x14ac:dyDescent="0.35">
      <c r="A25" s="17" t="s">
        <v>84</v>
      </c>
      <c r="B25" s="11" t="s">
        <v>10</v>
      </c>
      <c r="C25" s="9">
        <f>AVERAGE(Crecimiento_Paises!C17:AG17)</f>
        <v>5.9362900557103929E-2</v>
      </c>
      <c r="D25" s="9">
        <f>MEDIAN(Crecimiento_Paises!C17:AG17)</f>
        <v>5.7558279706160898E-2</v>
      </c>
      <c r="E25" s="9">
        <f>MAX(Crecimiento_Paises!C17:AG17)</f>
        <v>0.24623985636400825</v>
      </c>
      <c r="F25" s="9">
        <f>MIN(Crecimiento_Paises!C17:AG17)</f>
        <v>-5.0957827791381916E-2</v>
      </c>
      <c r="G25" s="9">
        <f>STDEV(Crecimiento_Paises!C17:AG17)</f>
        <v>5.8117509313661816E-2</v>
      </c>
      <c r="H25" s="23">
        <f t="shared" si="0"/>
        <v>0.97902071442341143</v>
      </c>
      <c r="I25" s="9">
        <f>(Datos_EUR_Paises!AH17/Datos_EUR_Paises!C17)^(1/31)-1</f>
        <v>5.7852529238859862E-2</v>
      </c>
    </row>
    <row r="26" spans="1:9" ht="15" customHeight="1" x14ac:dyDescent="0.35">
      <c r="A26" s="17" t="s">
        <v>86</v>
      </c>
      <c r="B26" s="11" t="s">
        <v>10</v>
      </c>
      <c r="C26" s="9">
        <f>AVERAGE(Crecimiento_Paises!C18:AG18)</f>
        <v>8.3871494801417458E-3</v>
      </c>
      <c r="D26" s="9">
        <f>MEDIAN(Crecimiento_Paises!C18:AG18)</f>
        <v>1.2362210851168731E-2</v>
      </c>
      <c r="E26" s="9">
        <f>MAX(Crecimiento_Paises!C18:AG18)</f>
        <v>8.9310621080005204E-2</v>
      </c>
      <c r="F26" s="9">
        <f>MIN(Crecimiento_Paises!C18:AG18)</f>
        <v>-8.8682212218533341E-2</v>
      </c>
      <c r="G26" s="9">
        <f>STDEV(Crecimiento_Paises!C18:AG18)</f>
        <v>2.9663166206025188E-2</v>
      </c>
      <c r="H26" s="23">
        <f t="shared" si="0"/>
        <v>3.5367398990871295</v>
      </c>
      <c r="I26" s="9">
        <f>(Datos_EUR_Paises!AH18/Datos_EUR_Paises!C18)^(1/31)-1</f>
        <v>7.9574704609699509E-3</v>
      </c>
    </row>
    <row r="27" spans="1:9" ht="15" customHeight="1" x14ac:dyDescent="0.35">
      <c r="A27" s="17" t="s">
        <v>88</v>
      </c>
      <c r="B27" s="11" t="s">
        <v>10</v>
      </c>
      <c r="C27" s="9">
        <f>AVERAGE(Crecimiento_Paises!C19:AG19)</f>
        <v>3.3747451511402203E-2</v>
      </c>
      <c r="D27" s="9">
        <f>MEDIAN(Crecimiento_Paises!C19:AG19)</f>
        <v>3.0363448266880422E-2</v>
      </c>
      <c r="E27" s="9">
        <f>MAX(Crecimiento_Paises!C19:AG19)</f>
        <v>0.12825017846905129</v>
      </c>
      <c r="F27" s="9">
        <f>MIN(Crecimiento_Paises!C19:AG19)</f>
        <v>-0.16040019531304184</v>
      </c>
      <c r="G27" s="9">
        <f>STDEV(Crecimiento_Paises!C19:AG19)</f>
        <v>5.6339745971162467E-2</v>
      </c>
      <c r="H27" s="23">
        <f t="shared" si="0"/>
        <v>1.6694518681544601</v>
      </c>
      <c r="I27" s="9">
        <f>(Datos_EUR_Paises!AH19/Datos_EUR_Paises!C19)^(1/31)-1</f>
        <v>3.2188056829685951E-2</v>
      </c>
    </row>
    <row r="28" spans="1:9" ht="15" customHeight="1" x14ac:dyDescent="0.35">
      <c r="A28" s="17" t="s">
        <v>90</v>
      </c>
      <c r="B28" s="11" t="s">
        <v>10</v>
      </c>
      <c r="C28" s="9">
        <f>AVERAGE(Crecimiento_Paises!C20:AG20)</f>
        <v>3.6000289905773059E-2</v>
      </c>
      <c r="D28" s="9">
        <f>MEDIAN(Crecimiento_Paises!C20:AG20)</f>
        <v>4.3829058435514767E-2</v>
      </c>
      <c r="E28" s="9">
        <f>MAX(Crecimiento_Paises!C20:AG20)</f>
        <v>0.11077928257867242</v>
      </c>
      <c r="F28" s="9">
        <f>MIN(Crecimiento_Paises!C20:AG20)</f>
        <v>-0.14838611789484701</v>
      </c>
      <c r="G28" s="9">
        <f>STDEV(Crecimiento_Paises!C20:AG20)</f>
        <v>5.1626387291518229E-2</v>
      </c>
      <c r="H28" s="23">
        <f t="shared" si="0"/>
        <v>1.434054765298969</v>
      </c>
      <c r="I28" s="9">
        <f>(Datos_EUR_Paises!AH20/Datos_EUR_Paises!C20)^(1/31)-1</f>
        <v>3.4666184563029612E-2</v>
      </c>
    </row>
    <row r="29" spans="1:9" ht="15" customHeight="1" x14ac:dyDescent="0.35">
      <c r="A29" s="17" t="s">
        <v>92</v>
      </c>
      <c r="B29" s="11" t="s">
        <v>10</v>
      </c>
      <c r="C29" s="9">
        <f>AVERAGE(Crecimiento_Paises!C21:AG21)</f>
        <v>2.9362776916579712E-2</v>
      </c>
      <c r="D29" s="9">
        <f>MEDIAN(Crecimiento_Paises!C21:AG21)</f>
        <v>2.6230867915486789E-2</v>
      </c>
      <c r="E29" s="9">
        <f>MAX(Crecimiento_Paises!C21:AG21)</f>
        <v>8.1751818490095829E-2</v>
      </c>
      <c r="F29" s="9">
        <f>MIN(Crecimiento_Paises!C21:AG21)</f>
        <v>-3.2389540914749437E-2</v>
      </c>
      <c r="G29" s="9">
        <f>STDEV(Crecimiento_Paises!C21:AG21)</f>
        <v>2.7672448916175037E-2</v>
      </c>
      <c r="H29" s="23">
        <f t="shared" si="0"/>
        <v>0.94243296520601805</v>
      </c>
      <c r="I29" s="9">
        <f>(Datos_EUR_Paises!AH21/Datos_EUR_Paises!C21)^(1/31)-1</f>
        <v>2.9003351377046904E-2</v>
      </c>
    </row>
    <row r="30" spans="1:9" ht="15" customHeight="1" x14ac:dyDescent="0.35">
      <c r="A30" s="17" t="s">
        <v>94</v>
      </c>
      <c r="B30" s="11" t="s">
        <v>10</v>
      </c>
      <c r="C30" s="9">
        <f>AVERAGE(Crecimiento_Paises!C22:AG22)</f>
        <v>5.2557005192994409E-2</v>
      </c>
      <c r="D30" s="9">
        <f>MEDIAN(Crecimiento_Paises!C22:AG22)</f>
        <v>4.7199759516097339E-2</v>
      </c>
      <c r="E30" s="9">
        <f>MAX(Crecimiento_Paises!C22:AG22)</f>
        <v>0.19681269257154299</v>
      </c>
      <c r="F30" s="9">
        <f>MIN(Crecimiento_Paises!C22:AG22)</f>
        <v>-3.4572827629471115E-2</v>
      </c>
      <c r="G30" s="9">
        <f>STDEV(Crecimiento_Paises!C22:AG22)</f>
        <v>4.5934863052613642E-2</v>
      </c>
      <c r="H30" s="23">
        <f t="shared" si="0"/>
        <v>0.87400077085702244</v>
      </c>
      <c r="I30" s="9">
        <f>(Datos_EUR_Paises!AH22/Datos_EUR_Paises!C22)^(1/31)-1</f>
        <v>5.161072698653113E-2</v>
      </c>
    </row>
    <row r="31" spans="1:9" ht="15" customHeight="1" x14ac:dyDescent="0.35">
      <c r="A31" s="17" t="s">
        <v>96</v>
      </c>
      <c r="B31" s="11" t="s">
        <v>10</v>
      </c>
      <c r="C31" s="9">
        <f>AVERAGE(Crecimiento_Paises!C23:AG23)</f>
        <v>2.0558121229927527E-2</v>
      </c>
      <c r="D31" s="9">
        <f>MEDIAN(Crecimiento_Paises!C23:AG23)</f>
        <v>2.258740373573076E-2</v>
      </c>
      <c r="E31" s="9">
        <f>MAX(Crecimiento_Paises!C23:AG23)</f>
        <v>6.2768306708324895E-2</v>
      </c>
      <c r="F31" s="9">
        <f>MIN(Crecimiento_Paises!C23:AG23)</f>
        <v>-3.8679533382321662E-2</v>
      </c>
      <c r="G31" s="9">
        <f>STDEV(Crecimiento_Paises!C23:AG23)</f>
        <v>2.3032871768894694E-2</v>
      </c>
      <c r="H31" s="23">
        <f t="shared" si="0"/>
        <v>1.12037824426118</v>
      </c>
      <c r="I31" s="9">
        <f>(Datos_EUR_Paises!AH23/Datos_EUR_Paises!C23)^(1/31)-1</f>
        <v>2.0303434356379713E-2</v>
      </c>
    </row>
    <row r="32" spans="1:9" ht="15" customHeight="1" x14ac:dyDescent="0.35">
      <c r="A32" s="17" t="s">
        <v>98</v>
      </c>
      <c r="B32" s="11" t="s">
        <v>10</v>
      </c>
      <c r="C32" s="9">
        <f>AVERAGE(Crecimiento_Paises!C24:AG24)</f>
        <v>1.5896005585032017E-2</v>
      </c>
      <c r="D32" s="9">
        <f>MEDIAN(Crecimiento_Paises!C24:AG24)</f>
        <v>1.9436721342793506E-2</v>
      </c>
      <c r="E32" s="9">
        <f>MAX(Crecimiento_Paises!C24:AG24)</f>
        <v>6.9858413758027149E-2</v>
      </c>
      <c r="F32" s="9">
        <f>MIN(Crecimiento_Paises!C24:AG24)</f>
        <v>-8.2046315932441161E-2</v>
      </c>
      <c r="G32" s="9">
        <f>STDEV(Crecimiento_Paises!C24:AG24)</f>
        <v>3.0121518373624954E-2</v>
      </c>
      <c r="H32" s="23">
        <f t="shared" si="0"/>
        <v>1.8949111594417123</v>
      </c>
      <c r="I32" s="9">
        <f>(Datos_EUR_Paises!AH24/Datos_EUR_Paises!C24)^(1/31)-1</f>
        <v>1.5452965641197247E-2</v>
      </c>
    </row>
    <row r="33" spans="1:9" ht="15" customHeight="1" x14ac:dyDescent="0.35">
      <c r="A33" s="17" t="s">
        <v>11</v>
      </c>
      <c r="B33" s="11" t="s">
        <v>11</v>
      </c>
      <c r="C33" s="9">
        <f>AVERAGE(Crecimiento_Paises!C25:AG25)</f>
        <v>2.5625538785281048E-2</v>
      </c>
      <c r="D33" s="9">
        <f>MEDIAN(Crecimiento_Paises!C25:AG25)</f>
        <v>2.695192577445038E-2</v>
      </c>
      <c r="E33" s="9">
        <f>MAX(Crecimiento_Paises!C25:AG25)</f>
        <v>6.0550529324452373E-2</v>
      </c>
      <c r="F33" s="9">
        <f>MIN(Crecimiento_Paises!C25:AG25)</f>
        <v>-2.5765002295838668E-2</v>
      </c>
      <c r="G33" s="9">
        <f>STDEV(Crecimiento_Paises!C25:AG25)</f>
        <v>1.7665434869946664E-2</v>
      </c>
      <c r="H33" s="23">
        <f t="shared" si="0"/>
        <v>0.68936832969511819</v>
      </c>
      <c r="I33" s="9">
        <f>(Datos_EUR_Paises!AH25/Datos_EUR_Paises!C25)^(1/31)-1</f>
        <v>2.5476334027237924E-2</v>
      </c>
    </row>
    <row r="34" spans="1:9" ht="15" customHeight="1" x14ac:dyDescent="0.35">
      <c r="A34" s="17" t="s">
        <v>101</v>
      </c>
      <c r="B34" s="11" t="s">
        <v>12</v>
      </c>
      <c r="C34" s="9">
        <f>AVERAGE(Crecimiento_Paises!C26:AG26)</f>
        <v>2.0759891922594212E-2</v>
      </c>
      <c r="D34" s="9">
        <f>MEDIAN(Crecimiento_Paises!C26:AG26)</f>
        <v>2.3260185332601324E-2</v>
      </c>
      <c r="E34" s="9">
        <f>MAX(Crecimiento_Paises!C26:AG26)</f>
        <v>8.5431118453255461E-2</v>
      </c>
      <c r="F34" s="9">
        <f>MIN(Crecimiento_Paises!C26:AG26)</f>
        <v>-0.10047896637361886</v>
      </c>
      <c r="G34" s="9">
        <f>STDEV(Crecimiento_Paises!C26:AG26)</f>
        <v>3.0869040671586544E-2</v>
      </c>
      <c r="H34" s="23">
        <f t="shared" si="0"/>
        <v>1.4869557503808557</v>
      </c>
      <c r="I34" s="9">
        <f>(Datos_EUR_Paises!AH26/Datos_EUR_Paises!C26)^(1/31)-1</f>
        <v>2.0288360737379829E-2</v>
      </c>
    </row>
  </sheetData>
  <mergeCells count="2">
    <mergeCell ref="A4:I4"/>
    <mergeCell ref="A11:I1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8"/>
  <sheetViews>
    <sheetView zoomScaleNormal="100" workbookViewId="0"/>
  </sheetViews>
  <sheetFormatPr baseColWidth="10" defaultColWidth="8.6328125" defaultRowHeight="14.5" x14ac:dyDescent="0.35"/>
  <cols>
    <col min="1" max="1" width="18" customWidth="1"/>
    <col min="2" max="4" width="22" customWidth="1"/>
  </cols>
  <sheetData>
    <row r="1" spans="1:4" ht="17.25" customHeight="1" x14ac:dyDescent="0.4">
      <c r="A1" s="3" t="s">
        <v>122</v>
      </c>
    </row>
    <row r="2" spans="1:4" ht="15" customHeight="1" x14ac:dyDescent="0.35">
      <c r="A2" s="4" t="s">
        <v>123</v>
      </c>
    </row>
    <row r="4" spans="1:4" ht="15" customHeight="1" x14ac:dyDescent="0.35">
      <c r="A4" s="7" t="s">
        <v>124</v>
      </c>
      <c r="B4" s="7" t="s">
        <v>10</v>
      </c>
      <c r="C4" s="7" t="s">
        <v>11</v>
      </c>
      <c r="D4" s="7" t="s">
        <v>12</v>
      </c>
    </row>
    <row r="5" spans="1:4" ht="15" customHeight="1" x14ac:dyDescent="0.35">
      <c r="A5" s="11">
        <v>1998</v>
      </c>
      <c r="B5" s="9">
        <f>STDEV(Crecimiento_Bloques!B5:F5)</f>
        <v>4.7291661710379346E-3</v>
      </c>
      <c r="C5" s="9">
        <f>STDEV(Crecimiento_Bloques!B6:F6)</f>
        <v>7.3287804502818518E-3</v>
      </c>
      <c r="D5" s="9">
        <f>STDEV(Crecimiento_Bloques!B7:F7)</f>
        <v>1.0330050997719257E-2</v>
      </c>
    </row>
    <row r="6" spans="1:4" ht="15" customHeight="1" x14ac:dyDescent="0.35">
      <c r="A6" s="11">
        <v>1999</v>
      </c>
      <c r="B6" s="9">
        <f>STDEV(Crecimiento_Bloques!C5:G5)</f>
        <v>5.2609265575904677E-3</v>
      </c>
      <c r="C6" s="9">
        <f>STDEV(Crecimiento_Bloques!C6:G6)</f>
        <v>8.4129700334274349E-3</v>
      </c>
      <c r="D6" s="9">
        <f>STDEV(Crecimiento_Bloques!C7:G7)</f>
        <v>8.7264618619633891E-3</v>
      </c>
    </row>
    <row r="7" spans="1:4" ht="15" customHeight="1" x14ac:dyDescent="0.35">
      <c r="A7" s="11">
        <v>2000</v>
      </c>
      <c r="B7" s="9">
        <f>STDEV(Crecimiento_Bloques!D5:H5)</f>
        <v>7.7157758876114889E-3</v>
      </c>
      <c r="C7" s="9">
        <f>STDEV(Crecimiento_Bloques!D6:H6)</f>
        <v>3.9377238848997773E-3</v>
      </c>
      <c r="D7" s="9">
        <f>STDEV(Crecimiento_Bloques!D7:H7)</f>
        <v>1.0011537617509322E-2</v>
      </c>
    </row>
    <row r="8" spans="1:4" ht="15" customHeight="1" x14ac:dyDescent="0.35">
      <c r="A8" s="11">
        <v>2001</v>
      </c>
      <c r="B8" s="9">
        <f>STDEV(Crecimiento_Bloques!E5:I5)</f>
        <v>6.1818138066519531E-3</v>
      </c>
      <c r="C8" s="9">
        <f>STDEV(Crecimiento_Bloques!E6:I6)</f>
        <v>1.5825711790426276E-2</v>
      </c>
      <c r="D8" s="9">
        <f>STDEV(Crecimiento_Bloques!E7:I7)</f>
        <v>1.0617507397703077E-2</v>
      </c>
    </row>
    <row r="9" spans="1:4" ht="15" customHeight="1" x14ac:dyDescent="0.35">
      <c r="A9" s="11">
        <v>2002</v>
      </c>
      <c r="B9" s="9">
        <f>STDEV(Crecimiento_Bloques!F5:J5)</f>
        <v>1.1098472403098043E-2</v>
      </c>
      <c r="C9" s="9">
        <f>STDEV(Crecimiento_Bloques!F6:J6)</f>
        <v>1.7482808097055273E-2</v>
      </c>
      <c r="D9" s="9">
        <f>STDEV(Crecimiento_Bloques!F7:J7)</f>
        <v>1.0509670277367187E-2</v>
      </c>
    </row>
    <row r="10" spans="1:4" ht="15" customHeight="1" x14ac:dyDescent="0.35">
      <c r="A10" s="11">
        <v>2003</v>
      </c>
      <c r="B10" s="9">
        <f>STDEV(Crecimiento_Bloques!G5:K5)</f>
        <v>1.3422553459368308E-2</v>
      </c>
      <c r="C10" s="9">
        <f>STDEV(Crecimiento_Bloques!G6:K6)</f>
        <v>1.5950673533024692E-2</v>
      </c>
      <c r="D10" s="9">
        <f>STDEV(Crecimiento_Bloques!G7:K7)</f>
        <v>1.0491658217849482E-2</v>
      </c>
    </row>
    <row r="11" spans="1:4" ht="15" customHeight="1" x14ac:dyDescent="0.35">
      <c r="A11" s="11">
        <v>2004</v>
      </c>
      <c r="B11" s="9">
        <f>STDEV(Crecimiento_Bloques!H5:L5)</f>
        <v>1.2657802849911116E-2</v>
      </c>
      <c r="C11" s="9">
        <f>STDEV(Crecimiento_Bloques!H6:L6)</f>
        <v>1.3475428173926156E-2</v>
      </c>
      <c r="D11" s="9">
        <f>STDEV(Crecimiento_Bloques!H7:L7)</f>
        <v>1.0868621534890779E-2</v>
      </c>
    </row>
    <row r="12" spans="1:4" ht="15" customHeight="1" x14ac:dyDescent="0.35">
      <c r="A12" s="11">
        <v>2005</v>
      </c>
      <c r="B12" s="9">
        <f>STDEV(Crecimiento_Bloques!I5:M5)</f>
        <v>7.1101634835674726E-3</v>
      </c>
      <c r="C12" s="9">
        <f>STDEV(Crecimiento_Bloques!I6:M6)</f>
        <v>1.2124232132661903E-2</v>
      </c>
      <c r="D12" s="9">
        <f>STDEV(Crecimiento_Bloques!I7:M7)</f>
        <v>5.6295874548856579E-3</v>
      </c>
    </row>
    <row r="13" spans="1:4" ht="15" customHeight="1" x14ac:dyDescent="0.35">
      <c r="A13" s="11">
        <v>2006</v>
      </c>
      <c r="B13" s="9">
        <f>STDEV(Crecimiento_Bloques!J5:N5)</f>
        <v>1.0498352173467715E-2</v>
      </c>
      <c r="C13" s="9">
        <f>STDEV(Crecimiento_Bloques!J6:N6)</f>
        <v>8.2150054286228621E-3</v>
      </c>
      <c r="D13" s="9">
        <f>STDEV(Crecimiento_Bloques!J7:N7)</f>
        <v>5.7851458791056357E-3</v>
      </c>
    </row>
    <row r="14" spans="1:4" ht="15" customHeight="1" x14ac:dyDescent="0.35">
      <c r="A14" s="11">
        <v>2007</v>
      </c>
      <c r="B14" s="9">
        <f>STDEV(Crecimiento_Bloques!K5:O5)</f>
        <v>1.0254202205506288E-2</v>
      </c>
      <c r="C14" s="9">
        <f>STDEV(Crecimiento_Bloques!K6:O6)</f>
        <v>7.1267135063163818E-3</v>
      </c>
      <c r="D14" s="9">
        <f>STDEV(Crecimiento_Bloques!K7:O7)</f>
        <v>4.272449946598097E-3</v>
      </c>
    </row>
    <row r="15" spans="1:4" ht="15" customHeight="1" x14ac:dyDescent="0.35">
      <c r="A15" s="11">
        <v>2008</v>
      </c>
      <c r="B15" s="9">
        <f>STDEV(Crecimiento_Bloques!L5:P5)</f>
        <v>1.1527191430240639E-2</v>
      </c>
      <c r="C15" s="9">
        <f>STDEV(Crecimiento_Bloques!L6:P6)</f>
        <v>1.4825416668215049E-2</v>
      </c>
      <c r="D15" s="9">
        <f>STDEV(Crecimiento_Bloques!L7:P7)</f>
        <v>1.2069663266031623E-2</v>
      </c>
    </row>
    <row r="16" spans="1:4" ht="15" customHeight="1" x14ac:dyDescent="0.35">
      <c r="A16" s="11">
        <v>2009</v>
      </c>
      <c r="B16" s="9">
        <f>STDEV(Crecimiento_Bloques!M5:Q5)</f>
        <v>3.1727717258163424E-2</v>
      </c>
      <c r="C16" s="9">
        <f>STDEV(Crecimiento_Bloques!M6:Q6)</f>
        <v>2.4395956347259471E-2</v>
      </c>
      <c r="D16" s="9">
        <f>STDEV(Crecimiento_Bloques!M7:Q7)</f>
        <v>3.1652610239699931E-2</v>
      </c>
    </row>
    <row r="17" spans="1:4" ht="15" customHeight="1" x14ac:dyDescent="0.35">
      <c r="A17" s="11">
        <v>2010</v>
      </c>
      <c r="B17" s="9">
        <f>STDEV(Crecimiento_Bloques!N5:R5)</f>
        <v>3.2027574551737277E-2</v>
      </c>
      <c r="C17" s="9">
        <f>STDEV(Crecimiento_Bloques!N6:R6)</f>
        <v>2.2717277023649816E-2</v>
      </c>
      <c r="D17" s="9">
        <f>STDEV(Crecimiento_Bloques!N7:R7)</f>
        <v>3.083665301550631E-2</v>
      </c>
    </row>
    <row r="18" spans="1:4" ht="15" customHeight="1" x14ac:dyDescent="0.35">
      <c r="A18" s="11">
        <v>2011</v>
      </c>
      <c r="B18" s="9">
        <f>STDEV(Crecimiento_Bloques!O5:S5)</f>
        <v>2.9736475286422346E-2</v>
      </c>
      <c r="C18" s="9">
        <f>STDEV(Crecimiento_Bloques!O6:S6)</f>
        <v>2.0910109597821039E-2</v>
      </c>
      <c r="D18" s="9">
        <f>STDEV(Crecimiento_Bloques!O7:S7)</f>
        <v>2.9612748999146024E-2</v>
      </c>
    </row>
    <row r="19" spans="1:4" ht="15" customHeight="1" x14ac:dyDescent="0.35">
      <c r="A19" s="11">
        <v>2012</v>
      </c>
      <c r="B19" s="9">
        <f>STDEV(Crecimiento_Bloques!P5:T5)</f>
        <v>2.6700868534274089E-2</v>
      </c>
      <c r="C19" s="9">
        <f>STDEV(Crecimiento_Bloques!P6:T6)</f>
        <v>2.136818626449833E-2</v>
      </c>
      <c r="D19" s="9">
        <f>STDEV(Crecimiento_Bloques!P7:T7)</f>
        <v>2.7026533691776412E-2</v>
      </c>
    </row>
    <row r="20" spans="1:4" ht="15" customHeight="1" x14ac:dyDescent="0.35">
      <c r="A20" s="11">
        <v>2013</v>
      </c>
      <c r="B20" s="9">
        <f>STDEV(Crecimiento_Bloques!Q5:U5)</f>
        <v>2.6484287169858397E-2</v>
      </c>
      <c r="C20" s="9">
        <f>STDEV(Crecimiento_Bloques!Q6:U6)</f>
        <v>2.1597051712024591E-2</v>
      </c>
      <c r="D20" s="9">
        <f>STDEV(Crecimiento_Bloques!Q7:U7)</f>
        <v>2.8080480730401335E-2</v>
      </c>
    </row>
    <row r="21" spans="1:4" ht="15" customHeight="1" x14ac:dyDescent="0.35">
      <c r="A21" s="11">
        <v>2014</v>
      </c>
      <c r="B21" s="9">
        <f>STDEV(Crecimiento_Bloques!R5:V5)</f>
        <v>1.3233913302593938E-2</v>
      </c>
      <c r="C21" s="9">
        <f>STDEV(Crecimiento_Bloques!R6:V6)</f>
        <v>4.3631957827280623E-3</v>
      </c>
      <c r="D21" s="9">
        <f>STDEV(Crecimiento_Bloques!R7:V7)</f>
        <v>8.6437619609779637E-3</v>
      </c>
    </row>
    <row r="22" spans="1:4" ht="15" customHeight="1" x14ac:dyDescent="0.35">
      <c r="A22" s="11">
        <v>2015</v>
      </c>
      <c r="B22" s="9">
        <f>STDEV(Crecimiento_Bloques!S5:W5)</f>
        <v>1.3295032281931176E-2</v>
      </c>
      <c r="C22" s="9">
        <f>STDEV(Crecimiento_Bloques!S6:W6)</f>
        <v>5.100317520013874E-3</v>
      </c>
      <c r="D22" s="9">
        <f>STDEV(Crecimiento_Bloques!S7:W7)</f>
        <v>8.5358188889966234E-3</v>
      </c>
    </row>
    <row r="23" spans="1:4" ht="15" customHeight="1" x14ac:dyDescent="0.35">
      <c r="A23" s="11">
        <v>2016</v>
      </c>
      <c r="B23" s="9">
        <f>STDEV(Crecimiento_Bloques!T5:X5)</f>
        <v>1.3336966953151119E-2</v>
      </c>
      <c r="C23" s="9">
        <f>STDEV(Crecimiento_Bloques!T6:X6)</f>
        <v>4.252637908645631E-3</v>
      </c>
      <c r="D23" s="9">
        <f>STDEV(Crecimiento_Bloques!T7:X7)</f>
        <v>6.3176594835175348E-3</v>
      </c>
    </row>
    <row r="24" spans="1:4" ht="15" customHeight="1" x14ac:dyDescent="0.35">
      <c r="A24" s="11">
        <v>2017</v>
      </c>
      <c r="B24" s="9">
        <f>STDEV(Crecimiento_Bloques!U5:Y5)</f>
        <v>1.0630095884969402E-2</v>
      </c>
      <c r="C24" s="9">
        <f>STDEV(Crecimiento_Bloques!U6:Y6)</f>
        <v>4.2698041899923963E-3</v>
      </c>
      <c r="D24" s="9">
        <f>STDEV(Crecimiento_Bloques!U7:Y7)</f>
        <v>6.1708946406182951E-3</v>
      </c>
    </row>
    <row r="25" spans="1:4" ht="15" customHeight="1" x14ac:dyDescent="0.35">
      <c r="A25" s="11">
        <v>2018</v>
      </c>
      <c r="B25" s="9">
        <f>STDEV(Crecimiento_Bloques!V5:Z5)</f>
        <v>4.4285130869803858E-3</v>
      </c>
      <c r="C25" s="9">
        <f>STDEV(Crecimiento_Bloques!V6:Z6)</f>
        <v>4.6706055984812598E-3</v>
      </c>
      <c r="D25" s="9">
        <f>STDEV(Crecimiento_Bloques!V7:Z7)</f>
        <v>6.6895423868057764E-3</v>
      </c>
    </row>
    <row r="26" spans="1:4" ht="15" customHeight="1" x14ac:dyDescent="0.35">
      <c r="A26" s="11">
        <v>2019</v>
      </c>
      <c r="B26" s="9">
        <f>STDEV(Crecimiento_Bloques!W5:AA5)</f>
        <v>3.9948092580457126E-3</v>
      </c>
      <c r="C26" s="9">
        <f>STDEV(Crecimiento_Bloques!W6:AA6)</f>
        <v>4.6722858108151528E-3</v>
      </c>
      <c r="D26" s="9">
        <f>STDEV(Crecimiento_Bloques!W7:AA7)</f>
        <v>6.8143636754899829E-3</v>
      </c>
    </row>
    <row r="27" spans="1:4" ht="15" customHeight="1" x14ac:dyDescent="0.35">
      <c r="A27" s="11">
        <v>2020</v>
      </c>
      <c r="B27" s="9">
        <f>STDEV(Crecimiento_Bloques!X5:AB5)</f>
        <v>3.6049426553895189E-2</v>
      </c>
      <c r="C27" s="9">
        <f>STDEV(Crecimiento_Bloques!X6:AB6)</f>
        <v>2.1069398922446959E-2</v>
      </c>
      <c r="D27" s="9">
        <f>STDEV(Crecimiento_Bloques!X7:AB7)</f>
        <v>5.4347332967648716E-2</v>
      </c>
    </row>
    <row r="28" spans="1:4" ht="15" customHeight="1" x14ac:dyDescent="0.35">
      <c r="A28" s="11">
        <v>2021</v>
      </c>
      <c r="B28" s="9">
        <f>STDEV(Crecimiento_Bloques!Y5:AC5)</f>
        <v>4.5440573820184654E-2</v>
      </c>
      <c r="C28" s="9">
        <f>STDEV(Crecimiento_Bloques!Y6:AC6)</f>
        <v>2.9383960765346273E-2</v>
      </c>
      <c r="D28" s="9">
        <f>STDEV(Crecimiento_Bloques!Y7:AC7)</f>
        <v>6.7699114181140427E-2</v>
      </c>
    </row>
    <row r="29" spans="1:4" ht="15" customHeight="1" x14ac:dyDescent="0.35">
      <c r="A29" s="11">
        <v>2022</v>
      </c>
      <c r="B29" s="9">
        <f>STDEV(Crecimiento_Bloques!Z5:AD5)</f>
        <v>4.6431309036226734E-2</v>
      </c>
      <c r="C29" s="9">
        <f>STDEV(Crecimiento_Bloques!Z6:AD6)</f>
        <v>2.9388596832190864E-2</v>
      </c>
      <c r="D29" s="9">
        <f>STDEV(Crecimiento_Bloques!Z7:AD7)</f>
        <v>7.0021831239592727E-2</v>
      </c>
    </row>
    <row r="30" spans="1:4" ht="15" customHeight="1" x14ac:dyDescent="0.35">
      <c r="A30" s="11">
        <v>2023</v>
      </c>
      <c r="B30" s="9">
        <f>STDEV(Crecimiento_Bloques!AA5:AE5)</f>
        <v>4.6593610929301463E-2</v>
      </c>
      <c r="C30" s="9">
        <f>STDEV(Crecimiento_Bloques!AA6:AE6)</f>
        <v>2.9352040645433265E-2</v>
      </c>
      <c r="D30" s="9">
        <f>STDEV(Crecimiento_Bloques!AA7:AE7)</f>
        <v>7.0136439335330869E-2</v>
      </c>
    </row>
    <row r="31" spans="1:4" ht="15" customHeight="1" x14ac:dyDescent="0.35">
      <c r="A31" s="11">
        <v>2024</v>
      </c>
      <c r="B31" s="9">
        <f>STDEV(Crecimiento_Bloques!AB5:AF5)</f>
        <v>4.6551181498654906E-2</v>
      </c>
      <c r="C31" s="9">
        <f>STDEV(Crecimiento_Bloques!AB6:AF6)</f>
        <v>2.9404078132851424E-2</v>
      </c>
      <c r="D31" s="9">
        <f>STDEV(Crecimiento_Bloques!AB7:AF7)</f>
        <v>7.0128579309813588E-2</v>
      </c>
    </row>
    <row r="34" spans="1:5" ht="15" customHeight="1" x14ac:dyDescent="0.35">
      <c r="A34" s="1" t="s">
        <v>125</v>
      </c>
      <c r="B34" s="1"/>
      <c r="C34" s="1"/>
      <c r="D34" s="1"/>
      <c r="E34" s="1"/>
    </row>
    <row r="35" spans="1:5" ht="15" customHeight="1" x14ac:dyDescent="0.35">
      <c r="A35" s="7" t="s">
        <v>3</v>
      </c>
      <c r="B35" s="7" t="s">
        <v>126</v>
      </c>
      <c r="C35" s="7" t="s">
        <v>127</v>
      </c>
      <c r="D35" s="7" t="s">
        <v>128</v>
      </c>
    </row>
    <row r="36" spans="1:5" ht="15" customHeight="1" x14ac:dyDescent="0.35">
      <c r="A36" s="5" t="s">
        <v>10</v>
      </c>
      <c r="B36" s="8">
        <f>MAX(Bloques_EUR!B5:AF5)</f>
        <v>11998290.131201208</v>
      </c>
      <c r="C36" s="8">
        <f>MIN(Bloques_EUR!B5:AF5)</f>
        <v>7482430.4592251945</v>
      </c>
      <c r="D36" s="9">
        <f>MIN(Crecimiento_Bloques!B5:AF5)</f>
        <v>-6.0567442505212843E-2</v>
      </c>
    </row>
    <row r="37" spans="1:5" ht="15" customHeight="1" x14ac:dyDescent="0.35">
      <c r="A37" s="5" t="s">
        <v>11</v>
      </c>
      <c r="B37" s="8">
        <f>MAX(Bloques_EUR!B6:AF6)</f>
        <v>19788420.271539975</v>
      </c>
      <c r="C37" s="8">
        <f>MIN(Bloques_EUR!B6:AF6)</f>
        <v>9325664.0222168546</v>
      </c>
      <c r="D37" s="9">
        <f>MIN(Crecimiento_Bloques!B6:AF6)</f>
        <v>-2.5765002295838668E-2</v>
      </c>
    </row>
    <row r="38" spans="1:5" ht="15" customHeight="1" x14ac:dyDescent="0.35">
      <c r="A38" s="5" t="s">
        <v>12</v>
      </c>
      <c r="B38" s="8">
        <f>MAX(Bloques_EUR!B7:AF7)</f>
        <v>2959134.510976071</v>
      </c>
      <c r="C38" s="8">
        <f>MIN(Bloques_EUR!B7:AF7)</f>
        <v>1605530.0896759082</v>
      </c>
      <c r="D38" s="9">
        <f>MIN(Crecimiento_Bloques!B7:AF7)</f>
        <v>-0.10047896637361886</v>
      </c>
    </row>
  </sheetData>
  <mergeCells count="1">
    <mergeCell ref="A34:E34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G99"/>
  <sheetViews>
    <sheetView tabSelected="1" topLeftCell="A56" zoomScale="71" zoomScaleNormal="100" workbookViewId="0">
      <selection activeCell="O116" sqref="O116"/>
    </sheetView>
  </sheetViews>
  <sheetFormatPr baseColWidth="10" defaultColWidth="8.6328125" defaultRowHeight="14.5" x14ac:dyDescent="0.35"/>
  <cols>
    <col min="1" max="1" width="12" customWidth="1"/>
    <col min="14" max="14" width="7" customWidth="1"/>
    <col min="15" max="15" width="16" customWidth="1"/>
    <col min="16" max="16" width="10" customWidth="1"/>
  </cols>
  <sheetData>
    <row r="1" spans="1:16" ht="18" x14ac:dyDescent="0.4">
      <c r="A1" s="3" t="s">
        <v>129</v>
      </c>
    </row>
    <row r="2" spans="1:16" x14ac:dyDescent="0.35">
      <c r="A2" s="4" t="s">
        <v>130</v>
      </c>
    </row>
    <row r="4" spans="1:16" x14ac:dyDescent="0.35">
      <c r="N4" s="25" t="s">
        <v>131</v>
      </c>
    </row>
    <row r="5" spans="1:16" x14ac:dyDescent="0.35">
      <c r="N5" s="26" t="s">
        <v>24</v>
      </c>
      <c r="O5" s="26" t="s">
        <v>25</v>
      </c>
      <c r="P5" s="26" t="s">
        <v>26</v>
      </c>
    </row>
    <row r="6" spans="1:16" x14ac:dyDescent="0.35">
      <c r="N6" s="27">
        <v>1</v>
      </c>
      <c r="O6" s="16" t="str">
        <f>INDEX(Estadisticos!$A$13:$A$34,MATCH(P6,Estadisticos!$I$13:$I$34,0))</f>
        <v>Irlanda</v>
      </c>
      <c r="P6" s="28">
        <f>LARGE(Estadisticos!$I$13:$I$34,1)</f>
        <v>5.7852529238859862E-2</v>
      </c>
    </row>
    <row r="7" spans="1:16" x14ac:dyDescent="0.35">
      <c r="N7" s="27">
        <v>2</v>
      </c>
      <c r="O7" s="16" t="str">
        <f>INDEX(Estadisticos!$A$13:$A$34,MATCH(P7,Estadisticos!$I$13:$I$34,0))</f>
        <v>Malta</v>
      </c>
      <c r="P7" s="28">
        <f>LARGE(Estadisticos!$I$13:$I$34,2)</f>
        <v>5.161072698653113E-2</v>
      </c>
    </row>
    <row r="8" spans="1:16" x14ac:dyDescent="0.35">
      <c r="N8" s="27">
        <v>3</v>
      </c>
      <c r="O8" s="16" t="str">
        <f>INDEX(Estadisticos!$A$13:$A$34,MATCH(P8,Estadisticos!$I$13:$I$34,0))</f>
        <v>Eslovaquia</v>
      </c>
      <c r="P8" s="28">
        <f>LARGE(Estadisticos!$I$13:$I$34,3)</f>
        <v>3.4924999970781911E-2</v>
      </c>
    </row>
    <row r="9" spans="1:16" x14ac:dyDescent="0.35">
      <c r="N9" s="27">
        <v>4</v>
      </c>
      <c r="O9" s="16" t="str">
        <f>INDEX(Estadisticos!$A$13:$A$34,MATCH(P9,Estadisticos!$I$13:$I$34,0))</f>
        <v>Chipre</v>
      </c>
      <c r="P9" s="28">
        <f>LARGE(Estadisticos!$I$13:$I$34,4)</f>
        <v>3.4672403110761918E-2</v>
      </c>
    </row>
    <row r="10" spans="1:16" x14ac:dyDescent="0.35">
      <c r="N10" s="27">
        <v>5</v>
      </c>
      <c r="O10" s="16" t="str">
        <f>INDEX(Estadisticos!$A$13:$A$34,MATCH(P10,Estadisticos!$I$13:$I$34,0))</f>
        <v>Lituania</v>
      </c>
      <c r="P10" s="28">
        <f>LARGE(Estadisticos!$I$13:$I$34,5)</f>
        <v>3.4666184563029612E-2</v>
      </c>
    </row>
    <row r="11" spans="1:16" x14ac:dyDescent="0.35">
      <c r="N11" s="27">
        <v>6</v>
      </c>
      <c r="O11" s="16" t="str">
        <f>INDEX(Estadisticos!$A$13:$A$34,MATCH(P11,Estadisticos!$I$13:$I$34,0))</f>
        <v>Estonia</v>
      </c>
      <c r="P11" s="28">
        <f>LARGE(Estadisticos!$I$13:$I$34,6)</f>
        <v>3.3167888954219071E-2</v>
      </c>
    </row>
    <row r="12" spans="1:16" x14ac:dyDescent="0.35">
      <c r="N12" s="27">
        <v>7</v>
      </c>
      <c r="O12" s="16" t="str">
        <f>INDEX(Estadisticos!$A$13:$A$34,MATCH(P12,Estadisticos!$I$13:$I$34,0))</f>
        <v>Letonia</v>
      </c>
      <c r="P12" s="28">
        <f>LARGE(Estadisticos!$I$13:$I$34,7)</f>
        <v>3.2188056829685951E-2</v>
      </c>
    </row>
    <row r="13" spans="1:16" x14ac:dyDescent="0.35">
      <c r="N13" s="27">
        <v>8</v>
      </c>
      <c r="O13" s="16" t="str">
        <f>INDEX(Estadisticos!$A$13:$A$34,MATCH(P13,Estadisticos!$I$13:$I$34,0))</f>
        <v>Luxemburgo</v>
      </c>
      <c r="P13" s="28">
        <f>LARGE(Estadisticos!$I$13:$I$34,8)</f>
        <v>2.9003351377046904E-2</v>
      </c>
    </row>
    <row r="14" spans="1:16" x14ac:dyDescent="0.35">
      <c r="N14" s="27">
        <v>9</v>
      </c>
      <c r="O14" s="16" t="str">
        <f>INDEX(Estadisticos!$A$13:$A$34,MATCH(P14,Estadisticos!$I$13:$I$34,0))</f>
        <v>Croacia</v>
      </c>
      <c r="P14" s="28">
        <f>LARGE(Estadisticos!$I$13:$I$34,9)</f>
        <v>2.7399728852526062E-2</v>
      </c>
    </row>
    <row r="15" spans="1:16" x14ac:dyDescent="0.35">
      <c r="N15" s="27">
        <v>10</v>
      </c>
      <c r="O15" s="16" t="str">
        <f>INDEX(Estadisticos!$A$13:$A$34,MATCH(P15,Estadisticos!$I$13:$I$34,0))</f>
        <v>Eslovenia</v>
      </c>
      <c r="P15" s="28">
        <f>LARGE(Estadisticos!$I$13:$I$34,10)</f>
        <v>2.7337370202670019E-2</v>
      </c>
    </row>
    <row r="16" spans="1:16" x14ac:dyDescent="0.35">
      <c r="N16" s="27">
        <v>11</v>
      </c>
      <c r="O16" s="16" t="str">
        <f>INDEX(Estadisticos!$A$13:$A$34,MATCH(P16,Estadisticos!$I$13:$I$34,0))</f>
        <v>EEUU</v>
      </c>
      <c r="P16" s="28">
        <f>LARGE(Estadisticos!$I$13:$I$34,11)</f>
        <v>2.5476334027237924E-2</v>
      </c>
    </row>
    <row r="17" spans="14:16" x14ac:dyDescent="0.35">
      <c r="N17" s="27">
        <v>12</v>
      </c>
      <c r="O17" s="16" t="str">
        <f>INDEX(Estadisticos!$A$13:$A$34,MATCH(P17,Estadisticos!$I$13:$I$34,0))</f>
        <v>España</v>
      </c>
      <c r="P17" s="28">
        <f>LARGE(Estadisticos!$I$13:$I$34,12)</f>
        <v>2.0421050745039526E-2</v>
      </c>
    </row>
    <row r="18" spans="14:16" x14ac:dyDescent="0.35">
      <c r="N18" s="27">
        <v>13</v>
      </c>
      <c r="O18" s="16" t="str">
        <f>INDEX(Estadisticos!$A$13:$A$34,MATCH(P18,Estadisticos!$I$13:$I$34,0))</f>
        <v>Países Bajos</v>
      </c>
      <c r="P18" s="28">
        <f>LARGE(Estadisticos!$I$13:$I$34,13)</f>
        <v>2.0303434356379713E-2</v>
      </c>
    </row>
    <row r="19" spans="14:16" x14ac:dyDescent="0.35">
      <c r="N19" s="27">
        <v>14</v>
      </c>
      <c r="O19" s="16" t="str">
        <f>INDEX(Estadisticos!$A$13:$A$34,MATCH(P19,Estadisticos!$I$13:$I$34,0))</f>
        <v>Reino Unido</v>
      </c>
      <c r="P19" s="28">
        <f>LARGE(Estadisticos!$I$13:$I$34,14)</f>
        <v>2.0288360737379829E-2</v>
      </c>
    </row>
    <row r="20" spans="14:16" x14ac:dyDescent="0.35">
      <c r="N20" s="27">
        <v>15</v>
      </c>
      <c r="O20" s="16" t="str">
        <f>INDEX(Estadisticos!$A$13:$A$34,MATCH(P20,Estadisticos!$I$13:$I$34,0))</f>
        <v>Finlandia</v>
      </c>
      <c r="P20" s="28">
        <f>LARGE(Estadisticos!$I$13:$I$34,15)</f>
        <v>1.9235868346730634E-2</v>
      </c>
    </row>
    <row r="21" spans="14:16" x14ac:dyDescent="0.35">
      <c r="N21" s="27">
        <v>16</v>
      </c>
      <c r="O21" s="16" t="str">
        <f>INDEX(Estadisticos!$A$13:$A$34,MATCH(P21,Estadisticos!$I$13:$I$34,0))</f>
        <v>Bélgica</v>
      </c>
      <c r="P21" s="28">
        <f>LARGE(Estadisticos!$I$13:$I$34,16)</f>
        <v>1.8544819009392421E-2</v>
      </c>
    </row>
    <row r="22" spans="14:16" x14ac:dyDescent="0.35">
      <c r="N22" s="27">
        <v>17</v>
      </c>
      <c r="O22" s="16" t="str">
        <f>INDEX(Estadisticos!$A$13:$A$34,MATCH(P22,Estadisticos!$I$13:$I$34,0))</f>
        <v>Austria</v>
      </c>
      <c r="P22" s="28">
        <f>LARGE(Estadisticos!$I$13:$I$34,17)</f>
        <v>1.6490531375757955E-2</v>
      </c>
    </row>
    <row r="23" spans="14:16" x14ac:dyDescent="0.35">
      <c r="N23" s="27">
        <v>18</v>
      </c>
      <c r="O23" s="16" t="str">
        <f>INDEX(Estadisticos!$A$13:$A$34,MATCH(P23,Estadisticos!$I$13:$I$34,0))</f>
        <v>Francia</v>
      </c>
      <c r="P23" s="28">
        <f>LARGE(Estadisticos!$I$13:$I$34,18)</f>
        <v>1.5862968769229546E-2</v>
      </c>
    </row>
    <row r="24" spans="14:16" x14ac:dyDescent="0.35">
      <c r="N24" s="27">
        <v>19</v>
      </c>
      <c r="O24" s="16" t="str">
        <f>INDEX(Estadisticos!$A$13:$A$34,MATCH(P24,Estadisticos!$I$13:$I$34,0))</f>
        <v>Portugal</v>
      </c>
      <c r="P24" s="28">
        <f>LARGE(Estadisticos!$I$13:$I$34,19)</f>
        <v>1.5452965641197247E-2</v>
      </c>
    </row>
    <row r="25" spans="14:16" x14ac:dyDescent="0.35">
      <c r="N25" s="27">
        <v>20</v>
      </c>
      <c r="O25" s="16" t="str">
        <f>INDEX(Estadisticos!$A$13:$A$34,MATCH(P25,Estadisticos!$I$13:$I$34,0))</f>
        <v>Alemania</v>
      </c>
      <c r="P25" s="28">
        <f>LARGE(Estadisticos!$I$13:$I$34,20)</f>
        <v>1.2388894161404318E-2</v>
      </c>
    </row>
    <row r="26" spans="14:16" x14ac:dyDescent="0.35">
      <c r="N26" s="27">
        <v>21</v>
      </c>
      <c r="O26" s="16" t="str">
        <f>INDEX(Estadisticos!$A$13:$A$34,MATCH(P26,Estadisticos!$I$13:$I$34,0))</f>
        <v>Grecia</v>
      </c>
      <c r="P26" s="28">
        <f>LARGE(Estadisticos!$I$13:$I$34,21)</f>
        <v>1.0694623318662444E-2</v>
      </c>
    </row>
    <row r="27" spans="14:16" x14ac:dyDescent="0.35">
      <c r="N27" s="27">
        <v>22</v>
      </c>
      <c r="O27" s="16" t="str">
        <f>INDEX(Estadisticos!$A$13:$A$34,MATCH(P27,Estadisticos!$I$13:$I$34,0))</f>
        <v>Italia</v>
      </c>
      <c r="P27" s="28">
        <f>LARGE(Estadisticos!$I$13:$I$34,22)</f>
        <v>7.9574704609699509E-3</v>
      </c>
    </row>
    <row r="95" spans="1:33" x14ac:dyDescent="0.35">
      <c r="A95" s="13" t="s">
        <v>132</v>
      </c>
    </row>
    <row r="96" spans="1:33" x14ac:dyDescent="0.35">
      <c r="A96" s="6" t="s">
        <v>3</v>
      </c>
      <c r="B96" s="26">
        <v>1993</v>
      </c>
      <c r="C96" s="26">
        <v>1994</v>
      </c>
      <c r="D96" s="26">
        <v>1995</v>
      </c>
      <c r="E96" s="26">
        <v>1996</v>
      </c>
      <c r="F96" s="26">
        <v>1997</v>
      </c>
      <c r="G96" s="26">
        <v>1998</v>
      </c>
      <c r="H96" s="26">
        <v>1999</v>
      </c>
      <c r="I96" s="26">
        <v>2000</v>
      </c>
      <c r="J96" s="26">
        <v>2001</v>
      </c>
      <c r="K96" s="26">
        <v>2002</v>
      </c>
      <c r="L96" s="26">
        <v>2003</v>
      </c>
      <c r="M96" s="26">
        <v>2004</v>
      </c>
      <c r="N96" s="26">
        <v>2005</v>
      </c>
      <c r="O96" s="26">
        <v>2006</v>
      </c>
      <c r="P96" s="26">
        <v>2007</v>
      </c>
      <c r="Q96" s="26">
        <v>2008</v>
      </c>
      <c r="R96" s="26">
        <v>2009</v>
      </c>
      <c r="S96" s="26">
        <v>2010</v>
      </c>
      <c r="T96" s="26">
        <v>2011</v>
      </c>
      <c r="U96" s="26">
        <v>2012</v>
      </c>
      <c r="V96" s="26">
        <v>2013</v>
      </c>
      <c r="W96" s="26">
        <v>2014</v>
      </c>
      <c r="X96" s="26">
        <v>2015</v>
      </c>
      <c r="Y96" s="26">
        <v>2016</v>
      </c>
      <c r="Z96" s="26">
        <v>2017</v>
      </c>
      <c r="AA96" s="26">
        <v>2018</v>
      </c>
      <c r="AB96" s="26">
        <v>2019</v>
      </c>
      <c r="AC96" s="26">
        <v>2020</v>
      </c>
      <c r="AD96" s="26">
        <v>2021</v>
      </c>
      <c r="AE96" s="26">
        <v>2022</v>
      </c>
      <c r="AF96" s="26">
        <v>2023</v>
      </c>
      <c r="AG96" s="26">
        <v>2024</v>
      </c>
    </row>
    <row r="97" spans="1:33" x14ac:dyDescent="0.35">
      <c r="A97" s="5" t="s">
        <v>10</v>
      </c>
      <c r="B97" s="29">
        <f>Bloques_EUR!B5/Bloques_EUR!B8</f>
        <v>0.40635293884298573</v>
      </c>
      <c r="C97" s="29">
        <f>Bloques_EUR!C5/Bloques_EUR!C8</f>
        <v>0.40250815072615198</v>
      </c>
      <c r="D97" s="29">
        <f>Bloques_EUR!D5/Bloques_EUR!D8</f>
        <v>0.40171016422335065</v>
      </c>
      <c r="E97" s="29">
        <f>Bloques_EUR!E5/Bloques_EUR!E8</f>
        <v>0.39736993208994514</v>
      </c>
      <c r="F97" s="29">
        <f>Bloques_EUR!F5/Bloques_EUR!F8</f>
        <v>0.39333988482360971</v>
      </c>
      <c r="G97" s="29">
        <f>Bloques_EUR!G5/Bloques_EUR!G8</f>
        <v>0.3903522714372431</v>
      </c>
      <c r="H97" s="29">
        <f>Bloques_EUR!H5/Bloques_EUR!H8</f>
        <v>0.38689904945490455</v>
      </c>
      <c r="I97" s="29">
        <f>Bloques_EUR!I5/Bloques_EUR!I8</f>
        <v>0.38635030271628057</v>
      </c>
      <c r="J97" s="29">
        <f>Bloques_EUR!J5/Bloques_EUR!J8</f>
        <v>0.3887348929499117</v>
      </c>
      <c r="K97" s="29">
        <f>Bloques_EUR!K5/Bloques_EUR!K8</f>
        <v>0.38696591692182503</v>
      </c>
      <c r="L97" s="29">
        <f>Bloques_EUR!L5/Bloques_EUR!L8</f>
        <v>0.3820735941506575</v>
      </c>
      <c r="M97" s="29">
        <f>Bloques_EUR!M5/Bloques_EUR!M8</f>
        <v>0.37907023151625091</v>
      </c>
      <c r="N97" s="29">
        <f>Bloques_EUR!N5/Bloques_EUR!N8</f>
        <v>0.37538029097510761</v>
      </c>
      <c r="O97" s="29">
        <f>Bloques_EUR!O5/Bloques_EUR!O8</f>
        <v>0.37680625983660776</v>
      </c>
      <c r="P97" s="29">
        <f>Bloques_EUR!P5/Bloques_EUR!P8</f>
        <v>0.37880910544183344</v>
      </c>
      <c r="Q97" s="29">
        <f>Bloques_EUR!Q5/Bloques_EUR!Q8</f>
        <v>0.37956186483155852</v>
      </c>
      <c r="R97" s="29">
        <f>Bloques_EUR!R5/Bloques_EUR!R8</f>
        <v>0.37562109723581227</v>
      </c>
      <c r="S97" s="29">
        <f>Bloques_EUR!S5/Bloques_EUR!S8</f>
        <v>0.37444168561831448</v>
      </c>
      <c r="T97" s="29">
        <f>Bloques_EUR!T5/Bloques_EUR!T8</f>
        <v>0.37516609594674583</v>
      </c>
      <c r="U97" s="29">
        <f>Bloques_EUR!U5/Bloques_EUR!U8</f>
        <v>0.3679658694833754</v>
      </c>
      <c r="V97" s="29">
        <f>Bloques_EUR!V5/Bloques_EUR!V8</f>
        <v>0.3628462924680978</v>
      </c>
      <c r="W97" s="29">
        <f>Bloques_EUR!W5/Bloques_EUR!W8</f>
        <v>0.36022953547642367</v>
      </c>
      <c r="X97" s="29">
        <f>Bloques_EUR!X5/Bloques_EUR!X8</f>
        <v>0.3586816146365267</v>
      </c>
      <c r="Y97" s="29">
        <f>Bloques_EUR!Y5/Bloques_EUR!Y8</f>
        <v>0.35851950933458787</v>
      </c>
      <c r="Z97" s="29">
        <f>Bloques_EUR!Z5/Bloques_EUR!Z8</f>
        <v>0.35871229992798731</v>
      </c>
      <c r="AA97" s="29">
        <f>Bloques_EUR!AA5/Bloques_EUR!AA8</f>
        <v>0.35649323629685797</v>
      </c>
      <c r="AB97" s="29">
        <f>Bloques_EUR!AB5/Bloques_EUR!AB8</f>
        <v>0.35474770639724823</v>
      </c>
      <c r="AC97" s="29">
        <f>Bloques_EUR!AC5/Bloques_EUR!AC8</f>
        <v>0.34802544660082441</v>
      </c>
      <c r="AD97" s="29">
        <f>Bloques_EUR!AD5/Bloques_EUR!AD8</f>
        <v>0.34816364102340036</v>
      </c>
      <c r="AE97" s="29">
        <f>Bloques_EUR!AE5/Bloques_EUR!AE8</f>
        <v>0.34993206584725511</v>
      </c>
      <c r="AF97" s="29">
        <f>Bloques_EUR!AF5/Bloques_EUR!AF8</f>
        <v>0.34531582584899012</v>
      </c>
      <c r="AG97" s="29">
        <f>Bloques_EUR!AG5/Bloques_EUR!AG8</f>
        <v>0.34162714116321097</v>
      </c>
    </row>
    <row r="98" spans="1:33" x14ac:dyDescent="0.35">
      <c r="A98" s="5" t="s">
        <v>11</v>
      </c>
      <c r="B98" s="29">
        <f>Bloques_EUR!B6/Bloques_EUR!B8</f>
        <v>0.50645455413728258</v>
      </c>
      <c r="C98" s="29">
        <f>Bloques_EUR!C6/Bloques_EUR!C8</f>
        <v>0.50907023698371201</v>
      </c>
      <c r="D98" s="29">
        <f>Bloques_EUR!D6/Bloques_EUR!D8</f>
        <v>0.50912720645426524</v>
      </c>
      <c r="E98" s="29">
        <f>Bloques_EUR!E6/Bloques_EUR!E8</f>
        <v>0.51367476094051256</v>
      </c>
      <c r="F98" s="29">
        <f>Bloques_EUR!F6/Bloques_EUR!F8</f>
        <v>0.51679378044310587</v>
      </c>
      <c r="G98" s="29">
        <f>Bloques_EUR!G6/Bloques_EUR!G8</f>
        <v>0.52025110202169333</v>
      </c>
      <c r="H98" s="29">
        <f>Bloques_EUR!H6/Bloques_EUR!H8</f>
        <v>0.52455149203209317</v>
      </c>
      <c r="I98" s="29">
        <f>Bloques_EUR!I6/Bloques_EUR!I8</f>
        <v>0.52469566262999767</v>
      </c>
      <c r="J98" s="29">
        <f>Bloques_EUR!J6/Bloques_EUR!J8</f>
        <v>0.52158167289408186</v>
      </c>
      <c r="K98" s="29">
        <f>Bloques_EUR!K6/Bloques_EUR!K8</f>
        <v>0.52308463404204075</v>
      </c>
      <c r="L98" s="29">
        <f>Bloques_EUR!L6/Bloques_EUR!L8</f>
        <v>0.52694102500848405</v>
      </c>
      <c r="M98" s="29">
        <f>Bloques_EUR!M6/Bloques_EUR!M8</f>
        <v>0.53064711642240492</v>
      </c>
      <c r="N98" s="29">
        <f>Bloques_EUR!N6/Bloques_EUR!N8</f>
        <v>0.53432073051698947</v>
      </c>
      <c r="O98" s="29">
        <f>Bloques_EUR!O6/Bloques_EUR!O8</f>
        <v>0.53354720527897848</v>
      </c>
      <c r="P98" s="29">
        <f>Bloques_EUR!P6/Bloques_EUR!P8</f>
        <v>0.53113807557131165</v>
      </c>
      <c r="Q98" s="29">
        <f>Bloques_EUR!Q6/Bloques_EUR!Q8</f>
        <v>0.53061968344831767</v>
      </c>
      <c r="R98" s="29">
        <f>Bloques_EUR!R6/Bloques_EUR!R8</f>
        <v>0.53559036032156426</v>
      </c>
      <c r="S98" s="29">
        <f>Bloques_EUR!S6/Bloques_EUR!S8</f>
        <v>0.53692521046593145</v>
      </c>
      <c r="T98" s="29">
        <f>Bloques_EUR!T6/Bloques_EUR!T8</f>
        <v>0.5368373886183273</v>
      </c>
      <c r="U98" s="29">
        <f>Bloques_EUR!U6/Bloques_EUR!U8</f>
        <v>0.5435930314518479</v>
      </c>
      <c r="V98" s="29">
        <f>Bloques_EUR!V6/Bloques_EUR!V8</f>
        <v>0.54829627064614328</v>
      </c>
      <c r="W98" s="29">
        <f>Bloques_EUR!W6/Bloques_EUR!W8</f>
        <v>0.55007194580583518</v>
      </c>
      <c r="X98" s="29">
        <f>Bloques_EUR!X6/Bloques_EUR!X8</f>
        <v>0.55200814487094185</v>
      </c>
      <c r="Y98" s="29">
        <f>Bloques_EUR!Y6/Bloques_EUR!Y8</f>
        <v>0.55185552236522062</v>
      </c>
      <c r="Z98" s="29">
        <f>Bloques_EUR!Z6/Bloques_EUR!Z8</f>
        <v>0.55126448981675957</v>
      </c>
      <c r="AA98" s="29">
        <f>Bloques_EUR!AA6/Bloques_EUR!AA8</f>
        <v>0.55424138053278893</v>
      </c>
      <c r="AB98" s="29">
        <f>Bloques_EUR!AB6/Bloques_EUR!AB8</f>
        <v>0.55674419993419166</v>
      </c>
      <c r="AC98" s="29">
        <f>Bloques_EUR!AC6/Bloques_EUR!AC8</f>
        <v>0.56883262262893863</v>
      </c>
      <c r="AD98" s="29">
        <f>Bloques_EUR!AD6/Bloques_EUR!AD8</f>
        <v>0.56701570753394848</v>
      </c>
      <c r="AE98" s="29">
        <f>Bloques_EUR!AE6/Bloques_EUR!AE8</f>
        <v>0.56359064853026486</v>
      </c>
      <c r="AF98" s="29">
        <f>Bloques_EUR!AF6/Bloques_EUR!AF8</f>
        <v>0.56951904092934391</v>
      </c>
      <c r="AG98" s="29">
        <f>Bloques_EUR!AG6/Bloques_EUR!AG8</f>
        <v>0.57393835966996298</v>
      </c>
    </row>
    <row r="99" spans="1:33" x14ac:dyDescent="0.35">
      <c r="A99" s="5" t="s">
        <v>12</v>
      </c>
      <c r="B99" s="29">
        <f>Bloques_EUR!B7/Bloques_EUR!B8</f>
        <v>8.7192507019731788E-2</v>
      </c>
      <c r="C99" s="29">
        <f>Bloques_EUR!C7/Bloques_EUR!C8</f>
        <v>8.8421612290135898E-2</v>
      </c>
      <c r="D99" s="29">
        <f>Bloques_EUR!D7/Bloques_EUR!D8</f>
        <v>8.9162629322384043E-2</v>
      </c>
      <c r="E99" s="29">
        <f>Bloques_EUR!E7/Bloques_EUR!E8</f>
        <v>8.8955306969542333E-2</v>
      </c>
      <c r="F99" s="29">
        <f>Bloques_EUR!F7/Bloques_EUR!F8</f>
        <v>8.9866334733284384E-2</v>
      </c>
      <c r="G99" s="29">
        <f>Bloques_EUR!G7/Bloques_EUR!G8</f>
        <v>8.9396626541063631E-2</v>
      </c>
      <c r="H99" s="29">
        <f>Bloques_EUR!H7/Bloques_EUR!H8</f>
        <v>8.8549458513002388E-2</v>
      </c>
      <c r="I99" s="29">
        <f>Bloques_EUR!I7/Bloques_EUR!I8</f>
        <v>8.8954034653721856E-2</v>
      </c>
      <c r="J99" s="29">
        <f>Bloques_EUR!J7/Bloques_EUR!J8</f>
        <v>8.9683434156006464E-2</v>
      </c>
      <c r="K99" s="29">
        <f>Bloques_EUR!K7/Bloques_EUR!K8</f>
        <v>8.9949449036134138E-2</v>
      </c>
      <c r="L99" s="29">
        <f>Bloques_EUR!L7/Bloques_EUR!L8</f>
        <v>9.0985380840858415E-2</v>
      </c>
      <c r="M99" s="29">
        <f>Bloques_EUR!M7/Bloques_EUR!M8</f>
        <v>9.028265206134431E-2</v>
      </c>
      <c r="N99" s="29">
        <f>Bloques_EUR!N7/Bloques_EUR!N8</f>
        <v>9.0298978507902902E-2</v>
      </c>
      <c r="O99" s="29">
        <f>Bloques_EUR!O7/Bloques_EUR!O8</f>
        <v>8.9646534884413695E-2</v>
      </c>
      <c r="P99" s="29">
        <f>Bloques_EUR!P7/Bloques_EUR!P8</f>
        <v>9.0052818986854827E-2</v>
      </c>
      <c r="Q99" s="29">
        <f>Bloques_EUR!Q7/Bloques_EUR!Q8</f>
        <v>8.9818451720123801E-2</v>
      </c>
      <c r="R99" s="29">
        <f>Bloques_EUR!R7/Bloques_EUR!R8</f>
        <v>8.8788542442623547E-2</v>
      </c>
      <c r="S99" s="29">
        <f>Bloques_EUR!S7/Bloques_EUR!S8</f>
        <v>8.8633103915754047E-2</v>
      </c>
      <c r="T99" s="29">
        <f>Bloques_EUR!T7/Bloques_EUR!T8</f>
        <v>8.7996515434926897E-2</v>
      </c>
      <c r="U99" s="29">
        <f>Bloques_EUR!U7/Bloques_EUR!U8</f>
        <v>8.8441099064776818E-2</v>
      </c>
      <c r="V99" s="29">
        <f>Bloques_EUR!V7/Bloques_EUR!V8</f>
        <v>8.8857436885758853E-2</v>
      </c>
      <c r="W99" s="29">
        <f>Bloques_EUR!W7/Bloques_EUR!W8</f>
        <v>8.9698518717741066E-2</v>
      </c>
      <c r="X99" s="29">
        <f>Bloques_EUR!X7/Bloques_EUR!X8</f>
        <v>8.9310240492531417E-2</v>
      </c>
      <c r="Y99" s="29">
        <f>Bloques_EUR!Y7/Bloques_EUR!Y8</f>
        <v>8.9624968300191482E-2</v>
      </c>
      <c r="Z99" s="29">
        <f>Bloques_EUR!Z7/Bloques_EUR!Z8</f>
        <v>9.0023210255253089E-2</v>
      </c>
      <c r="AA99" s="29">
        <f>Bloques_EUR!AA7/Bloques_EUR!AA8</f>
        <v>8.9265383170353166E-2</v>
      </c>
      <c r="AB99" s="29">
        <f>Bloques_EUR!AB7/Bloques_EUR!AB8</f>
        <v>8.8508093668560245E-2</v>
      </c>
      <c r="AC99" s="29">
        <f>Bloques_EUR!AC7/Bloques_EUR!AC8</f>
        <v>8.3141930770237071E-2</v>
      </c>
      <c r="AD99" s="29">
        <f>Bloques_EUR!AD7/Bloques_EUR!AD8</f>
        <v>8.4820651442651149E-2</v>
      </c>
      <c r="AE99" s="29">
        <f>Bloques_EUR!AE7/Bloques_EUR!AE8</f>
        <v>8.6477285622480041E-2</v>
      </c>
      <c r="AF99" s="29">
        <f>Bloques_EUR!AF7/Bloques_EUR!AF8</f>
        <v>8.5165133221665856E-2</v>
      </c>
      <c r="AG99" s="29">
        <f>Bloques_EUR!AG7/Bloques_EUR!AG8</f>
        <v>8.4434499166826077E-2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Resumen</vt:lpstr>
      <vt:lpstr>Datos_Origen_USD</vt:lpstr>
      <vt:lpstr>Datos_EUR_Paises</vt:lpstr>
      <vt:lpstr>Bloques_EUR</vt:lpstr>
      <vt:lpstr>Crecimiento_Paises</vt:lpstr>
      <vt:lpstr>Crecimiento_Bloques</vt:lpstr>
      <vt:lpstr>Estadisticos</vt:lpstr>
      <vt:lpstr>Volatilidad</vt:lpstr>
      <vt:lpstr>Graficas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Aritz Fernandez Aulestiarte</cp:lastModifiedBy>
  <cp:revision>1</cp:revision>
  <dcterms:created xsi:type="dcterms:W3CDTF">2026-05-11T10:00:25Z</dcterms:created>
  <dcterms:modified xsi:type="dcterms:W3CDTF">2026-05-11T10:35:50Z</dcterms:modified>
  <dc:language>en-US</dc:language>
</cp:coreProperties>
</file>
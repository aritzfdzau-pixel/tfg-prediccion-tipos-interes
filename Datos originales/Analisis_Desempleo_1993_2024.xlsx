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Crecimiento anual" sheetId="2" state="visible" r:id="rId4"/>
    <sheet name="Estadístic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<sst xmlns="http://schemas.openxmlformats.org/spreadsheetml/2006/main" count="42" uniqueCount="33">
  <si>
    <t xml:space="preserve">Tasa de desempleo anual (% de la población activa)</t>
  </si>
  <si>
    <t xml:space="preserve">Periodo: 1993-2024 | Año base: 1993</t>
  </si>
  <si>
    <t xml:space="preserve">Año</t>
  </si>
  <si>
    <t xml:space="preserve">Eurozona</t>
  </si>
  <si>
    <t xml:space="preserve">EE.UU.</t>
  </si>
  <si>
    <t xml:space="preserve">Reino Unido</t>
  </si>
  <si>
    <t xml:space="preserve">Construcción de la Eurozona (media aritmética simple)</t>
  </si>
  <si>
    <t xml:space="preserve">Países incluidos:</t>
  </si>
  <si>
    <t xml:space="preserve">Alemania, Austria, Bélgica, Chipre, Croacia, Eslovaquia, Eslovenia, España, Estonia, Finlandia, Francia, Grecia, Irlanda, Italia, Letonia, Lituania, Luxemburgo, Malta, Países Bajos, Portugal</t>
  </si>
  <si>
    <t xml:space="preserve">Fuente: Variables_y_tipos_de_interes.xlsx (hoja DESEMPLEO). La serie Eurozona se ha construido como media aritmética de los 20 países miembros incluidos en la base.</t>
  </si>
  <si>
    <t xml:space="preserve">Crecimiento anual de la tasa de desempleo (%)</t>
  </si>
  <si>
    <t xml:space="preserve">Fórmula: (Valor_t − Valor_t−1) / Valor_t−1 × 100</t>
  </si>
  <si>
    <t xml:space="preserve">—</t>
  </si>
  <si>
    <t xml:space="preserve">Análisis estadístico (1993-2024)</t>
  </si>
  <si>
    <t xml:space="preserve">Todos los estadísticos se calculan a partir de la hoja "Datos"</t>
  </si>
  <si>
    <t xml:space="preserve">Estadístico</t>
  </si>
  <si>
    <t xml:space="preserve">Media (%)</t>
  </si>
  <si>
    <t xml:space="preserve">Mediana (%)</t>
  </si>
  <si>
    <t xml:space="preserve">Máximo (%)</t>
  </si>
  <si>
    <t xml:space="preserve">Mínimo (%)</t>
  </si>
  <si>
    <t xml:space="preserve">Desviación típica</t>
  </si>
  <si>
    <t xml:space="preserve">Año del máximo</t>
  </si>
  <si>
    <t xml:space="preserve">Año del mínimo</t>
  </si>
  <si>
    <t xml:space="preserve">Coef. variación (%)</t>
  </si>
  <si>
    <t xml:space="preserve">CAGR 1993-2024 (%)</t>
  </si>
  <si>
    <t xml:space="preserve">Rango (Máx − Mín)</t>
  </si>
  <si>
    <t xml:space="preserve">Notas metodológicas</t>
  </si>
  <si>
    <t xml:space="preserve">• Media: AVERAGE(rango) — promedio aritmético simple de las observaciones anuales.</t>
  </si>
  <si>
    <t xml:space="preserve">• Mediana: MEDIAN(rango) — valor central de la distribución ordenada.</t>
  </si>
  <si>
    <t xml:space="preserve">• Desviación típica: STDEV(rango) — desviación típica muestral (n−1 en el denominador).</t>
  </si>
  <si>
    <t xml:space="preserve">• Coeficiente de variación: σ/μ × 100 — medida de dispersión relativa, comparable entre series.</t>
  </si>
  <si>
    <t xml:space="preserve">• CAGR: (V_final / V_inicial)^(1/(n−1)) − 1 — tasa de variación anual compuesta entre 1993 y 2024 (31 periodos).</t>
  </si>
  <si>
    <t xml:space="preserve">• Año máx/mín: INDEX/MATCH sobre la columna de años de la hoja "Datos".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</si>
</sst>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General"/>
    <numFmt numFmtId="167" formatCode="\+0.00;\-0.00;0.00"/>
    <numFmt numFmtId="168" formatCode="0"/>
    <numFmt numFmtId="169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9BBB59"/>
      <rgbColor rgb="FF003366"/>
      <rgbColor rgb="FF4F81BD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Evolución de la tasa de desempleo (1993-2024)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Datos!B4</c:f>
              <c:strCache>
                <c:ptCount val="1"/>
                <c:pt idx="0">
                  <c:v>Eurozona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Datos!$A$5:$A$36</c:f>
              <c:strCach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strCache>
            </c:strRef>
          </c:cat>
          <c:val>
            <c:numRef>
              <c:f>Datos!$B$5:$B$36</c:f>
              <c:numCache>
                <c:formatCode>0.000</c:formatCode>
                <c:ptCount val="32"/>
                <c:pt idx="0">
                  <c:v>9.856</c:v>
                </c:pt>
                <c:pt idx="1">
                  <c:v>10.463</c:v>
                </c:pt>
                <c:pt idx="2">
                  <c:v>10.482</c:v>
                </c:pt>
                <c:pt idx="3">
                  <c:v>10.449</c:v>
                </c:pt>
                <c:pt idx="4">
                  <c:v>9.841</c:v>
                </c:pt>
                <c:pt idx="5">
                  <c:v>9.545</c:v>
                </c:pt>
                <c:pt idx="6">
                  <c:v>9.458</c:v>
                </c:pt>
                <c:pt idx="7">
                  <c:v>9.291</c:v>
                </c:pt>
                <c:pt idx="8">
                  <c:v>8.73</c:v>
                </c:pt>
                <c:pt idx="9">
                  <c:v>8.529</c:v>
                </c:pt>
                <c:pt idx="10">
                  <c:v>8.735</c:v>
                </c:pt>
                <c:pt idx="11">
                  <c:v>8.805</c:v>
                </c:pt>
                <c:pt idx="12">
                  <c:v>8.355</c:v>
                </c:pt>
                <c:pt idx="13">
                  <c:v>7.404</c:v>
                </c:pt>
                <c:pt idx="14">
                  <c:v>6.549</c:v>
                </c:pt>
                <c:pt idx="15">
                  <c:v>6.615</c:v>
                </c:pt>
                <c:pt idx="16">
                  <c:v>9.485</c:v>
                </c:pt>
                <c:pt idx="17">
                  <c:v>10.701</c:v>
                </c:pt>
                <c:pt idx="18">
                  <c:v>10.719</c:v>
                </c:pt>
                <c:pt idx="19">
                  <c:v>11.646</c:v>
                </c:pt>
                <c:pt idx="20">
                  <c:v>12.124</c:v>
                </c:pt>
                <c:pt idx="21">
                  <c:v>11.523</c:v>
                </c:pt>
                <c:pt idx="22">
                  <c:v>10.798</c:v>
                </c:pt>
                <c:pt idx="23">
                  <c:v>9.83</c:v>
                </c:pt>
                <c:pt idx="24">
                  <c:v>8.641</c:v>
                </c:pt>
                <c:pt idx="25">
                  <c:v>7.457</c:v>
                </c:pt>
                <c:pt idx="26">
                  <c:v>6.732</c:v>
                </c:pt>
                <c:pt idx="27">
                  <c:v>7.465</c:v>
                </c:pt>
                <c:pt idx="28">
                  <c:v>7.245</c:v>
                </c:pt>
                <c:pt idx="29">
                  <c:v>6.277</c:v>
                </c:pt>
                <c:pt idx="30">
                  <c:v>6.163</c:v>
                </c:pt>
                <c:pt idx="31">
                  <c:v>6.114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Datos!C4</c:f>
              <c:strCache>
                <c:ptCount val="1"/>
                <c:pt idx="0">
                  <c:v>EE.UU.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Datos!$A$5:$A$36</c:f>
              <c:strCach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strCache>
            </c:strRef>
          </c:cat>
          <c:val>
            <c:numRef>
              <c:f>Datos!$C$5:$C$36</c:f>
              <c:numCache>
                <c:formatCode>0.000</c:formatCode>
                <c:ptCount val="32"/>
                <c:pt idx="0">
                  <c:v>6.9</c:v>
                </c:pt>
                <c:pt idx="1">
                  <c:v>6.119</c:v>
                </c:pt>
                <c:pt idx="2">
                  <c:v>5.65</c:v>
                </c:pt>
                <c:pt idx="3">
                  <c:v>5.451</c:v>
                </c:pt>
                <c:pt idx="4">
                  <c:v>5</c:v>
                </c:pt>
                <c:pt idx="5">
                  <c:v>4.511</c:v>
                </c:pt>
                <c:pt idx="6">
                  <c:v>4.219</c:v>
                </c:pt>
                <c:pt idx="7">
                  <c:v>3.992</c:v>
                </c:pt>
                <c:pt idx="8">
                  <c:v>4.731</c:v>
                </c:pt>
                <c:pt idx="9">
                  <c:v>5.783</c:v>
                </c:pt>
                <c:pt idx="10">
                  <c:v>5.989</c:v>
                </c:pt>
                <c:pt idx="11">
                  <c:v>5.529</c:v>
                </c:pt>
                <c:pt idx="12">
                  <c:v>5.084</c:v>
                </c:pt>
                <c:pt idx="13">
                  <c:v>4.623</c:v>
                </c:pt>
                <c:pt idx="14">
                  <c:v>4.622</c:v>
                </c:pt>
                <c:pt idx="15">
                  <c:v>5.784</c:v>
                </c:pt>
                <c:pt idx="16">
                  <c:v>9.254</c:v>
                </c:pt>
                <c:pt idx="17">
                  <c:v>9.633</c:v>
                </c:pt>
                <c:pt idx="18">
                  <c:v>8.949</c:v>
                </c:pt>
                <c:pt idx="19">
                  <c:v>8.069</c:v>
                </c:pt>
                <c:pt idx="20">
                  <c:v>7.375</c:v>
                </c:pt>
                <c:pt idx="21">
                  <c:v>6.168</c:v>
                </c:pt>
                <c:pt idx="22">
                  <c:v>5.28</c:v>
                </c:pt>
                <c:pt idx="23">
                  <c:v>4.869</c:v>
                </c:pt>
                <c:pt idx="24">
                  <c:v>4.355</c:v>
                </c:pt>
                <c:pt idx="25">
                  <c:v>3.896</c:v>
                </c:pt>
                <c:pt idx="26">
                  <c:v>3.669</c:v>
                </c:pt>
                <c:pt idx="27">
                  <c:v>8.055</c:v>
                </c:pt>
                <c:pt idx="28">
                  <c:v>5.349</c:v>
                </c:pt>
                <c:pt idx="29">
                  <c:v>3.65</c:v>
                </c:pt>
                <c:pt idx="30">
                  <c:v>3.638</c:v>
                </c:pt>
                <c:pt idx="31">
                  <c:v>4.022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Datos!D4</c:f>
              <c:strCache>
                <c:ptCount val="1"/>
                <c:pt idx="0">
                  <c:v>Reino Unido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Datos!$A$5:$A$36</c:f>
              <c:strCach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strCache>
            </c:strRef>
          </c:cat>
          <c:val>
            <c:numRef>
              <c:f>Datos!$D$5:$D$36</c:f>
              <c:numCache>
                <c:formatCode>0.000</c:formatCode>
                <c:ptCount val="32"/>
                <c:pt idx="0">
                  <c:v>10.346</c:v>
                </c:pt>
                <c:pt idx="1">
                  <c:v>9.648</c:v>
                </c:pt>
                <c:pt idx="2">
                  <c:v>8.694</c:v>
                </c:pt>
                <c:pt idx="3">
                  <c:v>8.189</c:v>
                </c:pt>
                <c:pt idx="4">
                  <c:v>7.072</c:v>
                </c:pt>
                <c:pt idx="5">
                  <c:v>6.198</c:v>
                </c:pt>
                <c:pt idx="6">
                  <c:v>6.042</c:v>
                </c:pt>
                <c:pt idx="7">
                  <c:v>5.558</c:v>
                </c:pt>
                <c:pt idx="8">
                  <c:v>4.696</c:v>
                </c:pt>
                <c:pt idx="9">
                  <c:v>5.037</c:v>
                </c:pt>
                <c:pt idx="10">
                  <c:v>4.807</c:v>
                </c:pt>
                <c:pt idx="11">
                  <c:v>4.594</c:v>
                </c:pt>
                <c:pt idx="12">
                  <c:v>4.884</c:v>
                </c:pt>
                <c:pt idx="13">
                  <c:v>5.472</c:v>
                </c:pt>
                <c:pt idx="14">
                  <c:v>5.399</c:v>
                </c:pt>
                <c:pt idx="15">
                  <c:v>5.748</c:v>
                </c:pt>
                <c:pt idx="16">
                  <c:v>7.683</c:v>
                </c:pt>
                <c:pt idx="17">
                  <c:v>7.973</c:v>
                </c:pt>
                <c:pt idx="18">
                  <c:v>8.195</c:v>
                </c:pt>
                <c:pt idx="19">
                  <c:v>8.279</c:v>
                </c:pt>
                <c:pt idx="20">
                  <c:v>7.752</c:v>
                </c:pt>
                <c:pt idx="21">
                  <c:v>6.398</c:v>
                </c:pt>
                <c:pt idx="22">
                  <c:v>5.552</c:v>
                </c:pt>
                <c:pt idx="23">
                  <c:v>4.909</c:v>
                </c:pt>
                <c:pt idx="24">
                  <c:v>4.501</c:v>
                </c:pt>
                <c:pt idx="25">
                  <c:v>4.145</c:v>
                </c:pt>
                <c:pt idx="26">
                  <c:v>3.657</c:v>
                </c:pt>
                <c:pt idx="27">
                  <c:v>4.472</c:v>
                </c:pt>
                <c:pt idx="28">
                  <c:v>4.864</c:v>
                </c:pt>
                <c:pt idx="29">
                  <c:v>3.768</c:v>
                </c:pt>
                <c:pt idx="30">
                  <c:v>4.025</c:v>
                </c:pt>
                <c:pt idx="31">
                  <c:v>4.361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694993"/>
        <c:axId val="44337252"/>
      </c:lineChart>
      <c:catAx>
        <c:axId val="156949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37252"/>
        <c:crosses val="autoZero"/>
        <c:auto val="1"/>
        <c:lblAlgn val="ctr"/>
        <c:lblOffset val="100"/>
        <c:noMultiLvlLbl val="0"/>
      </c:catAx>
      <c:valAx>
        <c:axId val="443372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Tasa de desempleo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949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Crecimiento anual del desempleo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'Crecimiento anual'!B4</c:f>
              <c:strCache>
                <c:ptCount val="1"/>
                <c:pt idx="0">
                  <c:v>Eurozona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'Crecimiento anual'!$A$5:$A$36</c:f>
              <c:strCach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strCache>
            </c:strRef>
          </c:cat>
          <c:val>
            <c:numRef>
              <c:f>'Crecimiento anual'!$B$5:$B$36</c:f>
              <c:numCache>
                <c:formatCode>\+0.00;\-0.00;0.00</c:formatCode>
                <c:ptCount val="32"/>
                <c:pt idx="1">
                  <c:v>6.15868506493506</c:v>
                </c:pt>
                <c:pt idx="2">
                  <c:v>0.181592277549461</c:v>
                </c:pt>
                <c:pt idx="3">
                  <c:v>-0.314825414997133</c:v>
                </c:pt>
                <c:pt idx="4">
                  <c:v>-5.81873863527611</c:v>
                </c:pt>
                <c:pt idx="5">
                  <c:v>-3.0078244080886</c:v>
                </c:pt>
                <c:pt idx="6">
                  <c:v>-0.911471974855943</c:v>
                </c:pt>
                <c:pt idx="7">
                  <c:v>-1.76570099386762</c:v>
                </c:pt>
                <c:pt idx="8">
                  <c:v>-6.03810138844043</c:v>
                </c:pt>
                <c:pt idx="9">
                  <c:v>-2.30240549828179</c:v>
                </c:pt>
                <c:pt idx="10">
                  <c:v>2.41528901395239</c:v>
                </c:pt>
                <c:pt idx="11">
                  <c:v>0.801373783629082</c:v>
                </c:pt>
                <c:pt idx="12">
                  <c:v>-5.11073253833049</c:v>
                </c:pt>
                <c:pt idx="13">
                  <c:v>-11.3824057450628</c:v>
                </c:pt>
                <c:pt idx="14">
                  <c:v>-11.547811993517</c:v>
                </c:pt>
                <c:pt idx="15">
                  <c:v>1.00778744846541</c:v>
                </c:pt>
                <c:pt idx="16">
                  <c:v>43.3862433862434</c:v>
                </c:pt>
                <c:pt idx="17">
                  <c:v>12.8202424881392</c:v>
                </c:pt>
                <c:pt idx="18">
                  <c:v>0.1682085786375</c:v>
                </c:pt>
                <c:pt idx="19">
                  <c:v>8.64819479429053</c:v>
                </c:pt>
                <c:pt idx="20">
                  <c:v>4.10441353254336</c:v>
                </c:pt>
                <c:pt idx="21">
                  <c:v>-4.95710986473112</c:v>
                </c:pt>
                <c:pt idx="22">
                  <c:v>-6.29176429749197</c:v>
                </c:pt>
                <c:pt idx="23">
                  <c:v>-8.96462307834784</c:v>
                </c:pt>
                <c:pt idx="24">
                  <c:v>-12.0956256358087</c:v>
                </c:pt>
                <c:pt idx="25">
                  <c:v>-13.7021178104386</c:v>
                </c:pt>
                <c:pt idx="26">
                  <c:v>-9.72240847525814</c:v>
                </c:pt>
                <c:pt idx="27">
                  <c:v>10.8882947118241</c:v>
                </c:pt>
                <c:pt idx="28">
                  <c:v>-2.947086403215</c:v>
                </c:pt>
                <c:pt idx="29">
                  <c:v>-13.3609385783299</c:v>
                </c:pt>
                <c:pt idx="30">
                  <c:v>-1.8161542137964</c:v>
                </c:pt>
                <c:pt idx="31">
                  <c:v>-0.795067337335719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'Crecimiento anual'!C4</c:f>
              <c:strCache>
                <c:ptCount val="1"/>
                <c:pt idx="0">
                  <c:v>EE.UU.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'Crecimiento anual'!$A$5:$A$36</c:f>
              <c:strCach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strCache>
            </c:strRef>
          </c:cat>
          <c:val>
            <c:numRef>
              <c:f>'Crecimiento anual'!$C$5:$C$36</c:f>
              <c:numCache>
                <c:formatCode>\+0.00;\-0.00;0.00</c:formatCode>
                <c:ptCount val="32"/>
                <c:pt idx="1">
                  <c:v>-11.3188405797102</c:v>
                </c:pt>
                <c:pt idx="2">
                  <c:v>-7.66465108677888</c:v>
                </c:pt>
                <c:pt idx="3">
                  <c:v>-3.52212389380532</c:v>
                </c:pt>
                <c:pt idx="4">
                  <c:v>-8.27371124564299</c:v>
                </c:pt>
                <c:pt idx="5">
                  <c:v>-9.78</c:v>
                </c:pt>
                <c:pt idx="6">
                  <c:v>-6.47306583906007</c:v>
                </c:pt>
                <c:pt idx="7">
                  <c:v>-5.3804219009244</c:v>
                </c:pt>
                <c:pt idx="8">
                  <c:v>18.5120240480962</c:v>
                </c:pt>
                <c:pt idx="9">
                  <c:v>22.2363136757557</c:v>
                </c:pt>
                <c:pt idx="10">
                  <c:v>3.56216496628047</c:v>
                </c:pt>
                <c:pt idx="11">
                  <c:v>-7.68074803806979</c:v>
                </c:pt>
                <c:pt idx="12">
                  <c:v>-8.04847169470068</c:v>
                </c:pt>
                <c:pt idx="13">
                  <c:v>-9.06766325727772</c:v>
                </c:pt>
                <c:pt idx="14">
                  <c:v>-0.0216309755570048</c:v>
                </c:pt>
                <c:pt idx="15">
                  <c:v>25.1406317611424</c:v>
                </c:pt>
                <c:pt idx="16">
                  <c:v>59.9930843706777</c:v>
                </c:pt>
                <c:pt idx="17">
                  <c:v>4.09552625891506</c:v>
                </c:pt>
                <c:pt idx="18">
                  <c:v>-7.10059171597633</c:v>
                </c:pt>
                <c:pt idx="19">
                  <c:v>-9.83350094982679</c:v>
                </c:pt>
                <c:pt idx="20">
                  <c:v>-8.60081794522247</c:v>
                </c:pt>
                <c:pt idx="21">
                  <c:v>-16.3661016949153</c:v>
                </c:pt>
                <c:pt idx="22">
                  <c:v>-14.3968871595331</c:v>
                </c:pt>
                <c:pt idx="23">
                  <c:v>-7.78409090909092</c:v>
                </c:pt>
                <c:pt idx="24">
                  <c:v>-10.5565824604641</c:v>
                </c:pt>
                <c:pt idx="25">
                  <c:v>-10.5396096440873</c:v>
                </c:pt>
                <c:pt idx="26">
                  <c:v>-5.8264887063655</c:v>
                </c:pt>
                <c:pt idx="27">
                  <c:v>119.542109566639</c:v>
                </c:pt>
                <c:pt idx="28">
                  <c:v>-33.5940409683426</c:v>
                </c:pt>
                <c:pt idx="29">
                  <c:v>-31.7629463451112</c:v>
                </c:pt>
                <c:pt idx="30">
                  <c:v>-0.328767123287672</c:v>
                </c:pt>
                <c:pt idx="31">
                  <c:v>10.5552501374382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'Crecimiento anual'!D4</c:f>
              <c:strCache>
                <c:ptCount val="1"/>
                <c:pt idx="0">
                  <c:v>Reino Unido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'Crecimiento anual'!$A$5:$A$36</c:f>
              <c:strCach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strCache>
            </c:strRef>
          </c:cat>
          <c:val>
            <c:numRef>
              <c:f>'Crecimiento anual'!$D$5:$D$36</c:f>
              <c:numCache>
                <c:formatCode>\+0.00;\-0.00;0.00</c:formatCode>
                <c:ptCount val="32"/>
                <c:pt idx="1">
                  <c:v>-6.74656872221149</c:v>
                </c:pt>
                <c:pt idx="2">
                  <c:v>-9.88805970149253</c:v>
                </c:pt>
                <c:pt idx="3">
                  <c:v>-5.8086036346906</c:v>
                </c:pt>
                <c:pt idx="4">
                  <c:v>-13.640249114666</c:v>
                </c:pt>
                <c:pt idx="5">
                  <c:v>-12.3585972850679</c:v>
                </c:pt>
                <c:pt idx="6">
                  <c:v>-2.51694094869314</c:v>
                </c:pt>
                <c:pt idx="7">
                  <c:v>-8.01059251903343</c:v>
                </c:pt>
                <c:pt idx="8">
                  <c:v>-15.5091759625765</c:v>
                </c:pt>
                <c:pt idx="9">
                  <c:v>7.26149914821125</c:v>
                </c:pt>
                <c:pt idx="10">
                  <c:v>-4.56621004566209</c:v>
                </c:pt>
                <c:pt idx="11">
                  <c:v>-4.43103806948201</c:v>
                </c:pt>
                <c:pt idx="12">
                  <c:v>6.31258162821071</c:v>
                </c:pt>
                <c:pt idx="13">
                  <c:v>12.039312039312</c:v>
                </c:pt>
                <c:pt idx="14">
                  <c:v>-1.33406432748539</c:v>
                </c:pt>
                <c:pt idx="15">
                  <c:v>6.46416002963512</c:v>
                </c:pt>
                <c:pt idx="16">
                  <c:v>33.6638830897703</c:v>
                </c:pt>
                <c:pt idx="17">
                  <c:v>3.77456722634388</c:v>
                </c:pt>
                <c:pt idx="18">
                  <c:v>2.78439734102597</c:v>
                </c:pt>
                <c:pt idx="19">
                  <c:v>1.02501525320317</c:v>
                </c:pt>
                <c:pt idx="20">
                  <c:v>-6.36550308008214</c:v>
                </c:pt>
                <c:pt idx="21">
                  <c:v>-17.4664602683179</c:v>
                </c:pt>
                <c:pt idx="22">
                  <c:v>-13.2228821506721</c:v>
                </c:pt>
                <c:pt idx="23">
                  <c:v>-11.5814121037464</c:v>
                </c:pt>
                <c:pt idx="24">
                  <c:v>-8.31126502342635</c:v>
                </c:pt>
                <c:pt idx="25">
                  <c:v>-7.90935347700513</c:v>
                </c:pt>
                <c:pt idx="26">
                  <c:v>-11.773220747889</c:v>
                </c:pt>
                <c:pt idx="27">
                  <c:v>22.2860267979218</c:v>
                </c:pt>
                <c:pt idx="28">
                  <c:v>8.76565295169945</c:v>
                </c:pt>
                <c:pt idx="29">
                  <c:v>-22.5328947368421</c:v>
                </c:pt>
                <c:pt idx="30">
                  <c:v>6.82059447983016</c:v>
                </c:pt>
                <c:pt idx="31">
                  <c:v>8.34782608695651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353993"/>
        <c:axId val="57909778"/>
      </c:lineChart>
      <c:catAx>
        <c:axId val="993539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09778"/>
        <c:crosses val="autoZero"/>
        <c:auto val="1"/>
        <c:lblAlgn val="ctr"/>
        <c:lblOffset val="100"/>
        <c:noMultiLvlLbl val="0"/>
      </c:catAx>
      <c:valAx>
        <c:axId val="579097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Variación interanual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0.00;\-0.00;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539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Comparativa de estadísticos clave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Estadística!B4</c:f>
              <c:strCache>
                <c:ptCount val="1"/>
                <c:pt idx="0">
                  <c:v>Eurozona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Estadística!$A$5:$A$13</c:f>
              <c:strCache>
                <c:ptCount val="9"/>
                <c:pt idx="0">
                  <c:v>Media (%)</c:v>
                </c:pt>
                <c:pt idx="1">
                  <c:v>Mediana (%)</c:v>
                </c:pt>
                <c:pt idx="2">
                  <c:v>Máximo (%)</c:v>
                </c:pt>
                <c:pt idx="3">
                  <c:v>Mínimo (%)</c:v>
                </c:pt>
                <c:pt idx="4">
                  <c:v>Desviación típica</c:v>
                </c:pt>
                <c:pt idx="5">
                  <c:v>Año del máximo</c:v>
                </c:pt>
                <c:pt idx="6">
                  <c:v>Año del mínimo</c:v>
                </c:pt>
                <c:pt idx="7">
                  <c:v>Coef. variación (%)</c:v>
                </c:pt>
                <c:pt idx="8">
                  <c:v>CAGR 1993-2024 (%)</c:v>
                </c:pt>
              </c:strCache>
            </c:strRef>
          </c:cat>
          <c:val>
            <c:numRef>
              <c:f>Estadística!$B$5:$B$13</c:f>
              <c:numCache>
                <c:formatCode>0.000</c:formatCode>
                <c:ptCount val="9"/>
                <c:pt idx="0">
                  <c:v>8.93834375</c:v>
                </c:pt>
                <c:pt idx="1">
                  <c:v>9.048</c:v>
                </c:pt>
                <c:pt idx="2">
                  <c:v>12.124</c:v>
                </c:pt>
                <c:pt idx="3">
                  <c:v>6.114</c:v>
                </c:pt>
                <c:pt idx="4">
                  <c:v>1.7359723613337</c:v>
                </c:pt>
                <c:pt idx="5">
                  <c:v>2013</c:v>
                </c:pt>
                <c:pt idx="6">
                  <c:v>2024</c:v>
                </c:pt>
                <c:pt idx="7">
                  <c:v>19.4216334691056</c:v>
                </c:pt>
                <c:pt idx="8">
                  <c:v>-1.5285176937044</c:v>
                </c:pt>
              </c:numCache>
            </c:numRef>
          </c:val>
        </c:ser>
        <c:ser>
          <c:idx val="1"/>
          <c:order val="1"/>
          <c:tx>
            <c:strRef>
              <c:f>Estadística!C4</c:f>
              <c:strCache>
                <c:ptCount val="1"/>
                <c:pt idx="0">
                  <c:v>EE.UU.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Estadística!$A$5:$A$13</c:f>
              <c:strCache>
                <c:ptCount val="9"/>
                <c:pt idx="0">
                  <c:v>Media (%)</c:v>
                </c:pt>
                <c:pt idx="1">
                  <c:v>Mediana (%)</c:v>
                </c:pt>
                <c:pt idx="2">
                  <c:v>Máximo (%)</c:v>
                </c:pt>
                <c:pt idx="3">
                  <c:v>Mínimo (%)</c:v>
                </c:pt>
                <c:pt idx="4">
                  <c:v>Desviación típica</c:v>
                </c:pt>
                <c:pt idx="5">
                  <c:v>Año del máximo</c:v>
                </c:pt>
                <c:pt idx="6">
                  <c:v>Año del mínimo</c:v>
                </c:pt>
                <c:pt idx="7">
                  <c:v>Coef. variación (%)</c:v>
                </c:pt>
                <c:pt idx="8">
                  <c:v>CAGR 1993-2024 (%)</c:v>
                </c:pt>
              </c:strCache>
            </c:strRef>
          </c:cat>
          <c:val>
            <c:numRef>
              <c:f>Estadística!$C$5:$C$13</c:f>
              <c:numCache>
                <c:formatCode>0.000</c:formatCode>
                <c:ptCount val="9"/>
                <c:pt idx="0">
                  <c:v>5.6318125</c:v>
                </c:pt>
                <c:pt idx="1">
                  <c:v>5.3145</c:v>
                </c:pt>
                <c:pt idx="2">
                  <c:v>9.633</c:v>
                </c:pt>
                <c:pt idx="3">
                  <c:v>3.638</c:v>
                </c:pt>
                <c:pt idx="4">
                  <c:v>1.67138722444329</c:v>
                </c:pt>
                <c:pt idx="5">
                  <c:v>2010</c:v>
                </c:pt>
                <c:pt idx="6">
                  <c:v>2023</c:v>
                </c:pt>
                <c:pt idx="7">
                  <c:v>29.6776077762407</c:v>
                </c:pt>
                <c:pt idx="8">
                  <c:v>-1.72603399074891</c:v>
                </c:pt>
              </c:numCache>
            </c:numRef>
          </c:val>
        </c:ser>
        <c:ser>
          <c:idx val="2"/>
          <c:order val="2"/>
          <c:tx>
            <c:strRef>
              <c:f>Estadística!D4</c:f>
              <c:strCache>
                <c:ptCount val="1"/>
                <c:pt idx="0">
                  <c:v>Reino Unido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Estadística!$A$5:$A$13</c:f>
              <c:strCache>
                <c:ptCount val="9"/>
                <c:pt idx="0">
                  <c:v>Media (%)</c:v>
                </c:pt>
                <c:pt idx="1">
                  <c:v>Mediana (%)</c:v>
                </c:pt>
                <c:pt idx="2">
                  <c:v>Máximo (%)</c:v>
                </c:pt>
                <c:pt idx="3">
                  <c:v>Mínimo (%)</c:v>
                </c:pt>
                <c:pt idx="4">
                  <c:v>Desviación típica</c:v>
                </c:pt>
                <c:pt idx="5">
                  <c:v>Año del máximo</c:v>
                </c:pt>
                <c:pt idx="6">
                  <c:v>Año del mínimo</c:v>
                </c:pt>
                <c:pt idx="7">
                  <c:v>Coef. variación (%)</c:v>
                </c:pt>
                <c:pt idx="8">
                  <c:v>CAGR 1993-2024 (%)</c:v>
                </c:pt>
              </c:strCache>
            </c:strRef>
          </c:cat>
          <c:val>
            <c:numRef>
              <c:f>Estadística!$D$5:$D$13</c:f>
              <c:numCache>
                <c:formatCode>0.000</c:formatCode>
                <c:ptCount val="9"/>
                <c:pt idx="0">
                  <c:v>6.0286875</c:v>
                </c:pt>
                <c:pt idx="1">
                  <c:v>5.512</c:v>
                </c:pt>
                <c:pt idx="2">
                  <c:v>10.346</c:v>
                </c:pt>
                <c:pt idx="3">
                  <c:v>3.657</c:v>
                </c:pt>
                <c:pt idx="4">
                  <c:v>1.80776706745125</c:v>
                </c:pt>
                <c:pt idx="5">
                  <c:v>1993</c:v>
                </c:pt>
                <c:pt idx="6">
                  <c:v>2019</c:v>
                </c:pt>
                <c:pt idx="7">
                  <c:v>29.9860801783348</c:v>
                </c:pt>
                <c:pt idx="8">
                  <c:v>-2.74829740282225</c:v>
                </c:pt>
              </c:numCache>
            </c:numRef>
          </c:val>
        </c:ser>
        <c:gapWidth val="150"/>
        <c:overlap val="0"/>
        <c:axId val="72821685"/>
        <c:axId val="94962791"/>
      </c:barChart>
      <c:catAx>
        <c:axId val="728216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962791"/>
        <c:crosses val="autoZero"/>
        <c:auto val="1"/>
        <c:lblAlgn val="ctr"/>
        <c:lblOffset val="100"/>
        <c:noMultiLvlLbl val="0"/>
      </c:catAx>
      <c:valAx>
        <c:axId val="949627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216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11</xdr:row>
      <xdr:rowOff>160560</xdr:rowOff>
    </xdr:from>
    <xdr:to>
      <xdr:col>12</xdr:col>
      <xdr:colOff>101520</xdr:colOff>
      <xdr:row>30</xdr:row>
      <xdr:rowOff>140760</xdr:rowOff>
    </xdr:to>
    <xdr:graphicFrame>
      <xdr:nvGraphicFramePr>
        <xdr:cNvPr id="0" name="Chart 1"/>
        <xdr:cNvGraphicFramePr/>
      </xdr:nvGraphicFramePr>
      <xdr:xfrm>
        <a:off x="4276800" y="22860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16</xdr:col>
      <xdr:colOff>473040</xdr:colOff>
      <xdr:row>21</xdr:row>
      <xdr:rowOff>141120</xdr:rowOff>
    </xdr:to>
    <xdr:graphicFrame>
      <xdr:nvGraphicFramePr>
        <xdr:cNvPr id="1" name="Chart 1"/>
        <xdr:cNvGraphicFramePr/>
      </xdr:nvGraphicFramePr>
      <xdr:xfrm>
        <a:off x="427680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15</xdr:col>
      <xdr:colOff>364320</xdr:colOff>
      <xdr:row>21</xdr:row>
      <xdr:rowOff>141120</xdr:rowOff>
    </xdr:to>
    <xdr:graphicFrame>
      <xdr:nvGraphicFramePr>
        <xdr:cNvPr id="2" name="Chart 1"/>
        <xdr:cNvGraphicFramePr/>
      </xdr:nvGraphicFramePr>
      <xdr:xfrm>
        <a:off x="5404320" y="571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  <col collapsed="false" customWidth="true" hidden="false" outlineLevel="0" max="8" min="6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F4" s="4" t="s">
        <v>6</v>
      </c>
      <c r="G4" s="4"/>
      <c r="H4" s="4"/>
    </row>
    <row r="5" customFormat="false" ht="15" hidden="false" customHeight="false" outlineLevel="0" collapsed="false">
      <c r="A5" s="5" t="n">
        <v>1993</v>
      </c>
      <c r="B5" s="6" t="n">
        <v>9.856</v>
      </c>
      <c r="C5" s="6" t="n">
        <v>6.9</v>
      </c>
      <c r="D5" s="6" t="n">
        <v>10.346</v>
      </c>
      <c r="F5" s="7" t="s">
        <v>7</v>
      </c>
    </row>
    <row r="6" customFormat="false" ht="15" hidden="false" customHeight="true" outlineLevel="0" collapsed="false">
      <c r="A6" s="8" t="n">
        <v>1994</v>
      </c>
      <c r="B6" s="9" t="n">
        <v>10.463</v>
      </c>
      <c r="C6" s="9" t="n">
        <v>6.119</v>
      </c>
      <c r="D6" s="9" t="n">
        <v>9.648</v>
      </c>
      <c r="F6" s="10" t="s">
        <v>8</v>
      </c>
      <c r="G6" s="10"/>
      <c r="H6" s="10"/>
      <c r="I6" s="10"/>
      <c r="J6" s="10"/>
      <c r="K6" s="10"/>
    </row>
    <row r="7" customFormat="false" ht="15" hidden="false" customHeight="false" outlineLevel="0" collapsed="false">
      <c r="A7" s="5" t="n">
        <v>1995</v>
      </c>
      <c r="B7" s="6" t="n">
        <v>10.482</v>
      </c>
      <c r="C7" s="6" t="n">
        <v>5.65</v>
      </c>
      <c r="D7" s="6" t="n">
        <v>8.694</v>
      </c>
      <c r="F7" s="10"/>
      <c r="G7" s="10"/>
      <c r="H7" s="10"/>
      <c r="I7" s="10"/>
      <c r="J7" s="10"/>
      <c r="K7" s="10"/>
    </row>
    <row r="8" customFormat="false" ht="15" hidden="false" customHeight="false" outlineLevel="0" collapsed="false">
      <c r="A8" s="8" t="n">
        <v>1996</v>
      </c>
      <c r="B8" s="9" t="n">
        <v>10.449</v>
      </c>
      <c r="C8" s="9" t="n">
        <v>5.451</v>
      </c>
      <c r="D8" s="9" t="n">
        <v>8.189</v>
      </c>
      <c r="F8" s="10"/>
      <c r="G8" s="10"/>
      <c r="H8" s="10"/>
      <c r="I8" s="10"/>
      <c r="J8" s="10"/>
      <c r="K8" s="10"/>
    </row>
    <row r="9" customFormat="false" ht="15" hidden="false" customHeight="false" outlineLevel="0" collapsed="false">
      <c r="A9" s="5" t="n">
        <v>1997</v>
      </c>
      <c r="B9" s="6" t="n">
        <v>9.841</v>
      </c>
      <c r="C9" s="6" t="n">
        <v>5</v>
      </c>
      <c r="D9" s="6" t="n">
        <v>7.072</v>
      </c>
      <c r="F9" s="10"/>
      <c r="G9" s="10"/>
      <c r="H9" s="10"/>
      <c r="I9" s="10"/>
      <c r="J9" s="10"/>
      <c r="K9" s="10"/>
    </row>
    <row r="10" customFormat="false" ht="15" hidden="false" customHeight="false" outlineLevel="0" collapsed="false">
      <c r="A10" s="8" t="n">
        <v>1998</v>
      </c>
      <c r="B10" s="9" t="n">
        <v>9.545</v>
      </c>
      <c r="C10" s="9" t="n">
        <v>4.511</v>
      </c>
      <c r="D10" s="9" t="n">
        <v>6.198</v>
      </c>
      <c r="F10" s="10"/>
      <c r="G10" s="10"/>
      <c r="H10" s="10"/>
      <c r="I10" s="10"/>
      <c r="J10" s="10"/>
      <c r="K10" s="10"/>
    </row>
    <row r="11" customFormat="false" ht="15" hidden="false" customHeight="false" outlineLevel="0" collapsed="false">
      <c r="A11" s="5" t="n">
        <v>1999</v>
      </c>
      <c r="B11" s="6" t="n">
        <v>9.458</v>
      </c>
      <c r="C11" s="6" t="n">
        <v>4.219</v>
      </c>
      <c r="D11" s="6" t="n">
        <v>6.042</v>
      </c>
    </row>
    <row r="12" customFormat="false" ht="15" hidden="false" customHeight="false" outlineLevel="0" collapsed="false">
      <c r="A12" s="8" t="n">
        <v>2000</v>
      </c>
      <c r="B12" s="9" t="n">
        <v>9.291</v>
      </c>
      <c r="C12" s="9" t="n">
        <v>3.992</v>
      </c>
      <c r="D12" s="9" t="n">
        <v>5.558</v>
      </c>
    </row>
    <row r="13" customFormat="false" ht="15" hidden="false" customHeight="false" outlineLevel="0" collapsed="false">
      <c r="A13" s="5" t="n">
        <v>2001</v>
      </c>
      <c r="B13" s="6" t="n">
        <v>8.73</v>
      </c>
      <c r="C13" s="6" t="n">
        <v>4.731</v>
      </c>
      <c r="D13" s="6" t="n">
        <v>4.696</v>
      </c>
    </row>
    <row r="14" customFormat="false" ht="15" hidden="false" customHeight="false" outlineLevel="0" collapsed="false">
      <c r="A14" s="8" t="n">
        <v>2002</v>
      </c>
      <c r="B14" s="9" t="n">
        <v>8.529</v>
      </c>
      <c r="C14" s="9" t="n">
        <v>5.783</v>
      </c>
      <c r="D14" s="9" t="n">
        <v>5.037</v>
      </c>
    </row>
    <row r="15" customFormat="false" ht="15" hidden="false" customHeight="false" outlineLevel="0" collapsed="false">
      <c r="A15" s="5" t="n">
        <v>2003</v>
      </c>
      <c r="B15" s="6" t="n">
        <v>8.735</v>
      </c>
      <c r="C15" s="6" t="n">
        <v>5.989</v>
      </c>
      <c r="D15" s="6" t="n">
        <v>4.807</v>
      </c>
    </row>
    <row r="16" customFormat="false" ht="15" hidden="false" customHeight="false" outlineLevel="0" collapsed="false">
      <c r="A16" s="8" t="n">
        <v>2004</v>
      </c>
      <c r="B16" s="9" t="n">
        <v>8.805</v>
      </c>
      <c r="C16" s="9" t="n">
        <v>5.529</v>
      </c>
      <c r="D16" s="9" t="n">
        <v>4.594</v>
      </c>
    </row>
    <row r="17" customFormat="false" ht="15" hidden="false" customHeight="false" outlineLevel="0" collapsed="false">
      <c r="A17" s="5" t="n">
        <v>2005</v>
      </c>
      <c r="B17" s="6" t="n">
        <v>8.355</v>
      </c>
      <c r="C17" s="6" t="n">
        <v>5.084</v>
      </c>
      <c r="D17" s="6" t="n">
        <v>4.884</v>
      </c>
    </row>
    <row r="18" customFormat="false" ht="15" hidden="false" customHeight="false" outlineLevel="0" collapsed="false">
      <c r="A18" s="8" t="n">
        <v>2006</v>
      </c>
      <c r="B18" s="9" t="n">
        <v>7.404</v>
      </c>
      <c r="C18" s="9" t="n">
        <v>4.623</v>
      </c>
      <c r="D18" s="9" t="n">
        <v>5.472</v>
      </c>
    </row>
    <row r="19" customFormat="false" ht="15" hidden="false" customHeight="false" outlineLevel="0" collapsed="false">
      <c r="A19" s="5" t="n">
        <v>2007</v>
      </c>
      <c r="B19" s="6" t="n">
        <v>6.549</v>
      </c>
      <c r="C19" s="6" t="n">
        <v>4.622</v>
      </c>
      <c r="D19" s="6" t="n">
        <v>5.399</v>
      </c>
    </row>
    <row r="20" customFormat="false" ht="15" hidden="false" customHeight="false" outlineLevel="0" collapsed="false">
      <c r="A20" s="8" t="n">
        <v>2008</v>
      </c>
      <c r="B20" s="9" t="n">
        <v>6.615</v>
      </c>
      <c r="C20" s="9" t="n">
        <v>5.784</v>
      </c>
      <c r="D20" s="9" t="n">
        <v>5.748</v>
      </c>
    </row>
    <row r="21" customFormat="false" ht="15" hidden="false" customHeight="false" outlineLevel="0" collapsed="false">
      <c r="A21" s="5" t="n">
        <v>2009</v>
      </c>
      <c r="B21" s="6" t="n">
        <v>9.485</v>
      </c>
      <c r="C21" s="6" t="n">
        <v>9.254</v>
      </c>
      <c r="D21" s="6" t="n">
        <v>7.683</v>
      </c>
    </row>
    <row r="22" customFormat="false" ht="15" hidden="false" customHeight="false" outlineLevel="0" collapsed="false">
      <c r="A22" s="8" t="n">
        <v>2010</v>
      </c>
      <c r="B22" s="9" t="n">
        <v>10.701</v>
      </c>
      <c r="C22" s="9" t="n">
        <v>9.633</v>
      </c>
      <c r="D22" s="9" t="n">
        <v>7.973</v>
      </c>
    </row>
    <row r="23" customFormat="false" ht="15" hidden="false" customHeight="false" outlineLevel="0" collapsed="false">
      <c r="A23" s="5" t="n">
        <v>2011</v>
      </c>
      <c r="B23" s="6" t="n">
        <v>10.719</v>
      </c>
      <c r="C23" s="6" t="n">
        <v>8.949</v>
      </c>
      <c r="D23" s="6" t="n">
        <v>8.195</v>
      </c>
    </row>
    <row r="24" customFormat="false" ht="15" hidden="false" customHeight="false" outlineLevel="0" collapsed="false">
      <c r="A24" s="8" t="n">
        <v>2012</v>
      </c>
      <c r="B24" s="9" t="n">
        <v>11.646</v>
      </c>
      <c r="C24" s="9" t="n">
        <v>8.069</v>
      </c>
      <c r="D24" s="9" t="n">
        <v>8.279</v>
      </c>
    </row>
    <row r="25" customFormat="false" ht="15" hidden="false" customHeight="false" outlineLevel="0" collapsed="false">
      <c r="A25" s="5" t="n">
        <v>2013</v>
      </c>
      <c r="B25" s="6" t="n">
        <v>12.124</v>
      </c>
      <c r="C25" s="6" t="n">
        <v>7.375</v>
      </c>
      <c r="D25" s="6" t="n">
        <v>7.752</v>
      </c>
    </row>
    <row r="26" customFormat="false" ht="15" hidden="false" customHeight="false" outlineLevel="0" collapsed="false">
      <c r="A26" s="8" t="n">
        <v>2014</v>
      </c>
      <c r="B26" s="9" t="n">
        <v>11.523</v>
      </c>
      <c r="C26" s="9" t="n">
        <v>6.168</v>
      </c>
      <c r="D26" s="9" t="n">
        <v>6.398</v>
      </c>
    </row>
    <row r="27" customFormat="false" ht="15" hidden="false" customHeight="false" outlineLevel="0" collapsed="false">
      <c r="A27" s="5" t="n">
        <v>2015</v>
      </c>
      <c r="B27" s="6" t="n">
        <v>10.798</v>
      </c>
      <c r="C27" s="6" t="n">
        <v>5.28</v>
      </c>
      <c r="D27" s="6" t="n">
        <v>5.552</v>
      </c>
    </row>
    <row r="28" customFormat="false" ht="15" hidden="false" customHeight="false" outlineLevel="0" collapsed="false">
      <c r="A28" s="8" t="n">
        <v>2016</v>
      </c>
      <c r="B28" s="9" t="n">
        <v>9.83</v>
      </c>
      <c r="C28" s="9" t="n">
        <v>4.869</v>
      </c>
      <c r="D28" s="9" t="n">
        <v>4.909</v>
      </c>
    </row>
    <row r="29" customFormat="false" ht="15" hidden="false" customHeight="false" outlineLevel="0" collapsed="false">
      <c r="A29" s="5" t="n">
        <v>2017</v>
      </c>
      <c r="B29" s="6" t="n">
        <v>8.641</v>
      </c>
      <c r="C29" s="6" t="n">
        <v>4.355</v>
      </c>
      <c r="D29" s="6" t="n">
        <v>4.501</v>
      </c>
    </row>
    <row r="30" customFormat="false" ht="15" hidden="false" customHeight="false" outlineLevel="0" collapsed="false">
      <c r="A30" s="8" t="n">
        <v>2018</v>
      </c>
      <c r="B30" s="9" t="n">
        <v>7.457</v>
      </c>
      <c r="C30" s="9" t="n">
        <v>3.896</v>
      </c>
      <c r="D30" s="9" t="n">
        <v>4.145</v>
      </c>
    </row>
    <row r="31" customFormat="false" ht="15" hidden="false" customHeight="false" outlineLevel="0" collapsed="false">
      <c r="A31" s="5" t="n">
        <v>2019</v>
      </c>
      <c r="B31" s="6" t="n">
        <v>6.732</v>
      </c>
      <c r="C31" s="6" t="n">
        <v>3.669</v>
      </c>
      <c r="D31" s="6" t="n">
        <v>3.657</v>
      </c>
    </row>
    <row r="32" customFormat="false" ht="15" hidden="false" customHeight="false" outlineLevel="0" collapsed="false">
      <c r="A32" s="8" t="n">
        <v>2020</v>
      </c>
      <c r="B32" s="9" t="n">
        <v>7.465</v>
      </c>
      <c r="C32" s="9" t="n">
        <v>8.055</v>
      </c>
      <c r="D32" s="9" t="n">
        <v>4.472</v>
      </c>
    </row>
    <row r="33" customFormat="false" ht="15" hidden="false" customHeight="false" outlineLevel="0" collapsed="false">
      <c r="A33" s="5" t="n">
        <v>2021</v>
      </c>
      <c r="B33" s="6" t="n">
        <v>7.245</v>
      </c>
      <c r="C33" s="6" t="n">
        <v>5.349</v>
      </c>
      <c r="D33" s="6" t="n">
        <v>4.864</v>
      </c>
    </row>
    <row r="34" customFormat="false" ht="15" hidden="false" customHeight="false" outlineLevel="0" collapsed="false">
      <c r="A34" s="8" t="n">
        <v>2022</v>
      </c>
      <c r="B34" s="9" t="n">
        <v>6.277</v>
      </c>
      <c r="C34" s="9" t="n">
        <v>3.65</v>
      </c>
      <c r="D34" s="9" t="n">
        <v>3.768</v>
      </c>
    </row>
    <row r="35" customFormat="false" ht="15" hidden="false" customHeight="false" outlineLevel="0" collapsed="false">
      <c r="A35" s="5" t="n">
        <v>2023</v>
      </c>
      <c r="B35" s="6" t="n">
        <v>6.163</v>
      </c>
      <c r="C35" s="6" t="n">
        <v>3.638</v>
      </c>
      <c r="D35" s="6" t="n">
        <v>4.025</v>
      </c>
    </row>
    <row r="36" customFormat="false" ht="15" hidden="false" customHeight="false" outlineLevel="0" collapsed="false">
      <c r="A36" s="8" t="n">
        <v>2024</v>
      </c>
      <c r="B36" s="9" t="n">
        <v>6.114</v>
      </c>
      <c r="C36" s="9" t="n">
        <v>4.022</v>
      </c>
      <c r="D36" s="9" t="n">
        <v>4.361</v>
      </c>
    </row>
    <row r="38" customFormat="false" ht="15" hidden="false" customHeight="false" outlineLevel="0" collapsed="false">
      <c r="A38" s="11" t="s">
        <v>9</v>
      </c>
      <c r="B38" s="11"/>
      <c r="C38" s="11"/>
      <c r="D38" s="11"/>
      <c r="E38" s="11"/>
      <c r="F38" s="11"/>
      <c r="G38" s="11"/>
      <c r="H38" s="11"/>
    </row>
  </sheetData>
  <mergeCells count="5">
    <mergeCell ref="A1:D1"/>
    <mergeCell ref="A2:D2"/>
    <mergeCell ref="F4:H4"/>
    <mergeCell ref="F6:K10"/>
    <mergeCell ref="A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10</v>
      </c>
      <c r="B1" s="1"/>
      <c r="C1" s="1"/>
      <c r="D1" s="1"/>
    </row>
    <row r="2" customFormat="false" ht="15" hidden="false" customHeight="false" outlineLevel="0" collapsed="false">
      <c r="A2" s="2" t="s">
        <v>11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12" t="n">
        <f aca="false">Datos!A5</f>
        <v>1993</v>
      </c>
      <c r="B5" s="13" t="s">
        <v>12</v>
      </c>
      <c r="C5" s="13" t="s">
        <v>12</v>
      </c>
      <c r="D5" s="13" t="s">
        <v>12</v>
      </c>
    </row>
    <row r="6" customFormat="false" ht="15" hidden="false" customHeight="false" outlineLevel="0" collapsed="false">
      <c r="A6" s="14" t="n">
        <f aca="false">Datos!A6</f>
        <v>1994</v>
      </c>
      <c r="B6" s="15" t="n">
        <f aca="false">(Datos!B6-Datos!B5)/Datos!B5*100</f>
        <v>6.15868506493506</v>
      </c>
      <c r="C6" s="15" t="n">
        <f aca="false">(Datos!C6-Datos!C5)/Datos!C5*100</f>
        <v>-11.3188405797102</v>
      </c>
      <c r="D6" s="15" t="n">
        <f aca="false">(Datos!D6-Datos!D5)/Datos!D5*100</f>
        <v>-6.74656872221149</v>
      </c>
    </row>
    <row r="7" customFormat="false" ht="15" hidden="false" customHeight="false" outlineLevel="0" collapsed="false">
      <c r="A7" s="12" t="n">
        <f aca="false">Datos!A7</f>
        <v>1995</v>
      </c>
      <c r="B7" s="16" t="n">
        <f aca="false">(Datos!B7-Datos!B6)/Datos!B6*100</f>
        <v>0.181592277549461</v>
      </c>
      <c r="C7" s="16" t="n">
        <f aca="false">(Datos!C7-Datos!C6)/Datos!C6*100</f>
        <v>-7.66465108677888</v>
      </c>
      <c r="D7" s="16" t="n">
        <f aca="false">(Datos!D7-Datos!D6)/Datos!D6*100</f>
        <v>-9.88805970149253</v>
      </c>
    </row>
    <row r="8" customFormat="false" ht="15" hidden="false" customHeight="false" outlineLevel="0" collapsed="false">
      <c r="A8" s="14" t="n">
        <f aca="false">Datos!A8</f>
        <v>1996</v>
      </c>
      <c r="B8" s="15" t="n">
        <f aca="false">(Datos!B8-Datos!B7)/Datos!B7*100</f>
        <v>-0.314825414997133</v>
      </c>
      <c r="C8" s="15" t="n">
        <f aca="false">(Datos!C8-Datos!C7)/Datos!C7*100</f>
        <v>-3.52212389380532</v>
      </c>
      <c r="D8" s="15" t="n">
        <f aca="false">(Datos!D8-Datos!D7)/Datos!D7*100</f>
        <v>-5.8086036346906</v>
      </c>
    </row>
    <row r="9" customFormat="false" ht="15" hidden="false" customHeight="false" outlineLevel="0" collapsed="false">
      <c r="A9" s="12" t="n">
        <f aca="false">Datos!A9</f>
        <v>1997</v>
      </c>
      <c r="B9" s="16" t="n">
        <f aca="false">(Datos!B9-Datos!B8)/Datos!B8*100</f>
        <v>-5.81873863527611</v>
      </c>
      <c r="C9" s="16" t="n">
        <f aca="false">(Datos!C9-Datos!C8)/Datos!C8*100</f>
        <v>-8.27371124564299</v>
      </c>
      <c r="D9" s="16" t="n">
        <f aca="false">(Datos!D9-Datos!D8)/Datos!D8*100</f>
        <v>-13.640249114666</v>
      </c>
    </row>
    <row r="10" customFormat="false" ht="15" hidden="false" customHeight="false" outlineLevel="0" collapsed="false">
      <c r="A10" s="14" t="n">
        <f aca="false">Datos!A10</f>
        <v>1998</v>
      </c>
      <c r="B10" s="15" t="n">
        <f aca="false">(Datos!B10-Datos!B9)/Datos!B9*100</f>
        <v>-3.0078244080886</v>
      </c>
      <c r="C10" s="15" t="n">
        <f aca="false">(Datos!C10-Datos!C9)/Datos!C9*100</f>
        <v>-9.78</v>
      </c>
      <c r="D10" s="15" t="n">
        <f aca="false">(Datos!D10-Datos!D9)/Datos!D9*100</f>
        <v>-12.3585972850679</v>
      </c>
    </row>
    <row r="11" customFormat="false" ht="15" hidden="false" customHeight="false" outlineLevel="0" collapsed="false">
      <c r="A11" s="12" t="n">
        <f aca="false">Datos!A11</f>
        <v>1999</v>
      </c>
      <c r="B11" s="16" t="n">
        <f aca="false">(Datos!B11-Datos!B10)/Datos!B10*100</f>
        <v>-0.911471974855943</v>
      </c>
      <c r="C11" s="16" t="n">
        <f aca="false">(Datos!C11-Datos!C10)/Datos!C10*100</f>
        <v>-6.47306583906007</v>
      </c>
      <c r="D11" s="16" t="n">
        <f aca="false">(Datos!D11-Datos!D10)/Datos!D10*100</f>
        <v>-2.51694094869314</v>
      </c>
    </row>
    <row r="12" customFormat="false" ht="15" hidden="false" customHeight="false" outlineLevel="0" collapsed="false">
      <c r="A12" s="14" t="n">
        <f aca="false">Datos!A12</f>
        <v>2000</v>
      </c>
      <c r="B12" s="15" t="n">
        <f aca="false">(Datos!B12-Datos!B11)/Datos!B11*100</f>
        <v>-1.76570099386762</v>
      </c>
      <c r="C12" s="15" t="n">
        <f aca="false">(Datos!C12-Datos!C11)/Datos!C11*100</f>
        <v>-5.3804219009244</v>
      </c>
      <c r="D12" s="15" t="n">
        <f aca="false">(Datos!D12-Datos!D11)/Datos!D11*100</f>
        <v>-8.01059251903343</v>
      </c>
    </row>
    <row r="13" customFormat="false" ht="15" hidden="false" customHeight="false" outlineLevel="0" collapsed="false">
      <c r="A13" s="12" t="n">
        <f aca="false">Datos!A13</f>
        <v>2001</v>
      </c>
      <c r="B13" s="16" t="n">
        <f aca="false">(Datos!B13-Datos!B12)/Datos!B12*100</f>
        <v>-6.03810138844043</v>
      </c>
      <c r="C13" s="16" t="n">
        <f aca="false">(Datos!C13-Datos!C12)/Datos!C12*100</f>
        <v>18.5120240480962</v>
      </c>
      <c r="D13" s="16" t="n">
        <f aca="false">(Datos!D13-Datos!D12)/Datos!D12*100</f>
        <v>-15.5091759625765</v>
      </c>
    </row>
    <row r="14" customFormat="false" ht="15" hidden="false" customHeight="false" outlineLevel="0" collapsed="false">
      <c r="A14" s="14" t="n">
        <f aca="false">Datos!A14</f>
        <v>2002</v>
      </c>
      <c r="B14" s="15" t="n">
        <f aca="false">(Datos!B14-Datos!B13)/Datos!B13*100</f>
        <v>-2.30240549828179</v>
      </c>
      <c r="C14" s="15" t="n">
        <f aca="false">(Datos!C14-Datos!C13)/Datos!C13*100</f>
        <v>22.2363136757557</v>
      </c>
      <c r="D14" s="15" t="n">
        <f aca="false">(Datos!D14-Datos!D13)/Datos!D13*100</f>
        <v>7.26149914821125</v>
      </c>
    </row>
    <row r="15" customFormat="false" ht="15" hidden="false" customHeight="false" outlineLevel="0" collapsed="false">
      <c r="A15" s="12" t="n">
        <f aca="false">Datos!A15</f>
        <v>2003</v>
      </c>
      <c r="B15" s="16" t="n">
        <f aca="false">(Datos!B15-Datos!B14)/Datos!B14*100</f>
        <v>2.41528901395239</v>
      </c>
      <c r="C15" s="16" t="n">
        <f aca="false">(Datos!C15-Datos!C14)/Datos!C14*100</f>
        <v>3.56216496628047</v>
      </c>
      <c r="D15" s="16" t="n">
        <f aca="false">(Datos!D15-Datos!D14)/Datos!D14*100</f>
        <v>-4.56621004566209</v>
      </c>
    </row>
    <row r="16" customFormat="false" ht="15" hidden="false" customHeight="false" outlineLevel="0" collapsed="false">
      <c r="A16" s="14" t="n">
        <f aca="false">Datos!A16</f>
        <v>2004</v>
      </c>
      <c r="B16" s="15" t="n">
        <f aca="false">(Datos!B16-Datos!B15)/Datos!B15*100</f>
        <v>0.801373783629082</v>
      </c>
      <c r="C16" s="15" t="n">
        <f aca="false">(Datos!C16-Datos!C15)/Datos!C15*100</f>
        <v>-7.68074803806979</v>
      </c>
      <c r="D16" s="15" t="n">
        <f aca="false">(Datos!D16-Datos!D15)/Datos!D15*100</f>
        <v>-4.43103806948201</v>
      </c>
    </row>
    <row r="17" customFormat="false" ht="15" hidden="false" customHeight="false" outlineLevel="0" collapsed="false">
      <c r="A17" s="12" t="n">
        <f aca="false">Datos!A17</f>
        <v>2005</v>
      </c>
      <c r="B17" s="16" t="n">
        <f aca="false">(Datos!B17-Datos!B16)/Datos!B16*100</f>
        <v>-5.11073253833049</v>
      </c>
      <c r="C17" s="16" t="n">
        <f aca="false">(Datos!C17-Datos!C16)/Datos!C16*100</f>
        <v>-8.04847169470068</v>
      </c>
      <c r="D17" s="16" t="n">
        <f aca="false">(Datos!D17-Datos!D16)/Datos!D16*100</f>
        <v>6.31258162821071</v>
      </c>
    </row>
    <row r="18" customFormat="false" ht="15" hidden="false" customHeight="false" outlineLevel="0" collapsed="false">
      <c r="A18" s="14" t="n">
        <f aca="false">Datos!A18</f>
        <v>2006</v>
      </c>
      <c r="B18" s="15" t="n">
        <f aca="false">(Datos!B18-Datos!B17)/Datos!B17*100</f>
        <v>-11.3824057450628</v>
      </c>
      <c r="C18" s="15" t="n">
        <f aca="false">(Datos!C18-Datos!C17)/Datos!C17*100</f>
        <v>-9.06766325727772</v>
      </c>
      <c r="D18" s="15" t="n">
        <f aca="false">(Datos!D18-Datos!D17)/Datos!D17*100</f>
        <v>12.039312039312</v>
      </c>
    </row>
    <row r="19" customFormat="false" ht="15" hidden="false" customHeight="false" outlineLevel="0" collapsed="false">
      <c r="A19" s="12" t="n">
        <f aca="false">Datos!A19</f>
        <v>2007</v>
      </c>
      <c r="B19" s="16" t="n">
        <f aca="false">(Datos!B19-Datos!B18)/Datos!B18*100</f>
        <v>-11.547811993517</v>
      </c>
      <c r="C19" s="16" t="n">
        <f aca="false">(Datos!C19-Datos!C18)/Datos!C18*100</f>
        <v>-0.0216309755570048</v>
      </c>
      <c r="D19" s="16" t="n">
        <f aca="false">(Datos!D19-Datos!D18)/Datos!D18*100</f>
        <v>-1.33406432748539</v>
      </c>
    </row>
    <row r="20" customFormat="false" ht="15" hidden="false" customHeight="false" outlineLevel="0" collapsed="false">
      <c r="A20" s="14" t="n">
        <f aca="false">Datos!A20</f>
        <v>2008</v>
      </c>
      <c r="B20" s="15" t="n">
        <f aca="false">(Datos!B20-Datos!B19)/Datos!B19*100</f>
        <v>1.00778744846541</v>
      </c>
      <c r="C20" s="15" t="n">
        <f aca="false">(Datos!C20-Datos!C19)/Datos!C19*100</f>
        <v>25.1406317611424</v>
      </c>
      <c r="D20" s="15" t="n">
        <f aca="false">(Datos!D20-Datos!D19)/Datos!D19*100</f>
        <v>6.46416002963512</v>
      </c>
    </row>
    <row r="21" customFormat="false" ht="15" hidden="false" customHeight="false" outlineLevel="0" collapsed="false">
      <c r="A21" s="12" t="n">
        <f aca="false">Datos!A21</f>
        <v>2009</v>
      </c>
      <c r="B21" s="16" t="n">
        <f aca="false">(Datos!B21-Datos!B20)/Datos!B20*100</f>
        <v>43.3862433862434</v>
      </c>
      <c r="C21" s="16" t="n">
        <f aca="false">(Datos!C21-Datos!C20)/Datos!C20*100</f>
        <v>59.9930843706777</v>
      </c>
      <c r="D21" s="16" t="n">
        <f aca="false">(Datos!D21-Datos!D20)/Datos!D20*100</f>
        <v>33.6638830897703</v>
      </c>
    </row>
    <row r="22" customFormat="false" ht="15" hidden="false" customHeight="false" outlineLevel="0" collapsed="false">
      <c r="A22" s="14" t="n">
        <f aca="false">Datos!A22</f>
        <v>2010</v>
      </c>
      <c r="B22" s="15" t="n">
        <f aca="false">(Datos!B22-Datos!B21)/Datos!B21*100</f>
        <v>12.8202424881392</v>
      </c>
      <c r="C22" s="15" t="n">
        <f aca="false">(Datos!C22-Datos!C21)/Datos!C21*100</f>
        <v>4.09552625891506</v>
      </c>
      <c r="D22" s="15" t="n">
        <f aca="false">(Datos!D22-Datos!D21)/Datos!D21*100</f>
        <v>3.77456722634388</v>
      </c>
    </row>
    <row r="23" customFormat="false" ht="15" hidden="false" customHeight="false" outlineLevel="0" collapsed="false">
      <c r="A23" s="12" t="n">
        <f aca="false">Datos!A23</f>
        <v>2011</v>
      </c>
      <c r="B23" s="16" t="n">
        <f aca="false">(Datos!B23-Datos!B22)/Datos!B22*100</f>
        <v>0.1682085786375</v>
      </c>
      <c r="C23" s="16" t="n">
        <f aca="false">(Datos!C23-Datos!C22)/Datos!C22*100</f>
        <v>-7.10059171597633</v>
      </c>
      <c r="D23" s="16" t="n">
        <f aca="false">(Datos!D23-Datos!D22)/Datos!D22*100</f>
        <v>2.78439734102597</v>
      </c>
    </row>
    <row r="24" customFormat="false" ht="15" hidden="false" customHeight="false" outlineLevel="0" collapsed="false">
      <c r="A24" s="14" t="n">
        <f aca="false">Datos!A24</f>
        <v>2012</v>
      </c>
      <c r="B24" s="15" t="n">
        <f aca="false">(Datos!B24-Datos!B23)/Datos!B23*100</f>
        <v>8.64819479429053</v>
      </c>
      <c r="C24" s="15" t="n">
        <f aca="false">(Datos!C24-Datos!C23)/Datos!C23*100</f>
        <v>-9.83350094982679</v>
      </c>
      <c r="D24" s="15" t="n">
        <f aca="false">(Datos!D24-Datos!D23)/Datos!D23*100</f>
        <v>1.02501525320317</v>
      </c>
    </row>
    <row r="25" customFormat="false" ht="15" hidden="false" customHeight="false" outlineLevel="0" collapsed="false">
      <c r="A25" s="12" t="n">
        <f aca="false">Datos!A25</f>
        <v>2013</v>
      </c>
      <c r="B25" s="16" t="n">
        <f aca="false">(Datos!B25-Datos!B24)/Datos!B24*100</f>
        <v>4.10441353254336</v>
      </c>
      <c r="C25" s="16" t="n">
        <f aca="false">(Datos!C25-Datos!C24)/Datos!C24*100</f>
        <v>-8.60081794522247</v>
      </c>
      <c r="D25" s="16" t="n">
        <f aca="false">(Datos!D25-Datos!D24)/Datos!D24*100</f>
        <v>-6.36550308008214</v>
      </c>
    </row>
    <row r="26" customFormat="false" ht="15" hidden="false" customHeight="false" outlineLevel="0" collapsed="false">
      <c r="A26" s="14" t="n">
        <f aca="false">Datos!A26</f>
        <v>2014</v>
      </c>
      <c r="B26" s="15" t="n">
        <f aca="false">(Datos!B26-Datos!B25)/Datos!B25*100</f>
        <v>-4.95710986473112</v>
      </c>
      <c r="C26" s="15" t="n">
        <f aca="false">(Datos!C26-Datos!C25)/Datos!C25*100</f>
        <v>-16.3661016949153</v>
      </c>
      <c r="D26" s="15" t="n">
        <f aca="false">(Datos!D26-Datos!D25)/Datos!D25*100</f>
        <v>-17.4664602683179</v>
      </c>
    </row>
    <row r="27" customFormat="false" ht="15" hidden="false" customHeight="false" outlineLevel="0" collapsed="false">
      <c r="A27" s="12" t="n">
        <f aca="false">Datos!A27</f>
        <v>2015</v>
      </c>
      <c r="B27" s="16" t="n">
        <f aca="false">(Datos!B27-Datos!B26)/Datos!B26*100</f>
        <v>-6.29176429749197</v>
      </c>
      <c r="C27" s="16" t="n">
        <f aca="false">(Datos!C27-Datos!C26)/Datos!C26*100</f>
        <v>-14.3968871595331</v>
      </c>
      <c r="D27" s="16" t="n">
        <f aca="false">(Datos!D27-Datos!D26)/Datos!D26*100</f>
        <v>-13.2228821506721</v>
      </c>
    </row>
    <row r="28" customFormat="false" ht="15" hidden="false" customHeight="false" outlineLevel="0" collapsed="false">
      <c r="A28" s="14" t="n">
        <f aca="false">Datos!A28</f>
        <v>2016</v>
      </c>
      <c r="B28" s="15" t="n">
        <f aca="false">(Datos!B28-Datos!B27)/Datos!B27*100</f>
        <v>-8.96462307834784</v>
      </c>
      <c r="C28" s="15" t="n">
        <f aca="false">(Datos!C28-Datos!C27)/Datos!C27*100</f>
        <v>-7.78409090909092</v>
      </c>
      <c r="D28" s="15" t="n">
        <f aca="false">(Datos!D28-Datos!D27)/Datos!D27*100</f>
        <v>-11.5814121037464</v>
      </c>
    </row>
    <row r="29" customFormat="false" ht="15" hidden="false" customHeight="false" outlineLevel="0" collapsed="false">
      <c r="A29" s="12" t="n">
        <f aca="false">Datos!A29</f>
        <v>2017</v>
      </c>
      <c r="B29" s="16" t="n">
        <f aca="false">(Datos!B29-Datos!B28)/Datos!B28*100</f>
        <v>-12.0956256358087</v>
      </c>
      <c r="C29" s="16" t="n">
        <f aca="false">(Datos!C29-Datos!C28)/Datos!C28*100</f>
        <v>-10.5565824604641</v>
      </c>
      <c r="D29" s="16" t="n">
        <f aca="false">(Datos!D29-Datos!D28)/Datos!D28*100</f>
        <v>-8.31126502342635</v>
      </c>
    </row>
    <row r="30" customFormat="false" ht="15" hidden="false" customHeight="false" outlineLevel="0" collapsed="false">
      <c r="A30" s="14" t="n">
        <f aca="false">Datos!A30</f>
        <v>2018</v>
      </c>
      <c r="B30" s="15" t="n">
        <f aca="false">(Datos!B30-Datos!B29)/Datos!B29*100</f>
        <v>-13.7021178104386</v>
      </c>
      <c r="C30" s="15" t="n">
        <f aca="false">(Datos!C30-Datos!C29)/Datos!C29*100</f>
        <v>-10.5396096440873</v>
      </c>
      <c r="D30" s="15" t="n">
        <f aca="false">(Datos!D30-Datos!D29)/Datos!D29*100</f>
        <v>-7.90935347700513</v>
      </c>
    </row>
    <row r="31" customFormat="false" ht="15" hidden="false" customHeight="false" outlineLevel="0" collapsed="false">
      <c r="A31" s="12" t="n">
        <f aca="false">Datos!A31</f>
        <v>2019</v>
      </c>
      <c r="B31" s="16" t="n">
        <f aca="false">(Datos!B31-Datos!B30)/Datos!B30*100</f>
        <v>-9.72240847525814</v>
      </c>
      <c r="C31" s="16" t="n">
        <f aca="false">(Datos!C31-Datos!C30)/Datos!C30*100</f>
        <v>-5.8264887063655</v>
      </c>
      <c r="D31" s="16" t="n">
        <f aca="false">(Datos!D31-Datos!D30)/Datos!D30*100</f>
        <v>-11.773220747889</v>
      </c>
    </row>
    <row r="32" customFormat="false" ht="15" hidden="false" customHeight="false" outlineLevel="0" collapsed="false">
      <c r="A32" s="14" t="n">
        <f aca="false">Datos!A32</f>
        <v>2020</v>
      </c>
      <c r="B32" s="15" t="n">
        <f aca="false">(Datos!B32-Datos!B31)/Datos!B31*100</f>
        <v>10.8882947118241</v>
      </c>
      <c r="C32" s="15" t="n">
        <f aca="false">(Datos!C32-Datos!C31)/Datos!C31*100</f>
        <v>119.542109566639</v>
      </c>
      <c r="D32" s="15" t="n">
        <f aca="false">(Datos!D32-Datos!D31)/Datos!D31*100</f>
        <v>22.2860267979218</v>
      </c>
    </row>
    <row r="33" customFormat="false" ht="15" hidden="false" customHeight="false" outlineLevel="0" collapsed="false">
      <c r="A33" s="12" t="n">
        <f aca="false">Datos!A33</f>
        <v>2021</v>
      </c>
      <c r="B33" s="16" t="n">
        <f aca="false">(Datos!B33-Datos!B32)/Datos!B32*100</f>
        <v>-2.947086403215</v>
      </c>
      <c r="C33" s="16" t="n">
        <f aca="false">(Datos!C33-Datos!C32)/Datos!C32*100</f>
        <v>-33.5940409683426</v>
      </c>
      <c r="D33" s="16" t="n">
        <f aca="false">(Datos!D33-Datos!D32)/Datos!D32*100</f>
        <v>8.76565295169945</v>
      </c>
    </row>
    <row r="34" customFormat="false" ht="15" hidden="false" customHeight="false" outlineLevel="0" collapsed="false">
      <c r="A34" s="14" t="n">
        <f aca="false">Datos!A34</f>
        <v>2022</v>
      </c>
      <c r="B34" s="15" t="n">
        <f aca="false">(Datos!B34-Datos!B33)/Datos!B33*100</f>
        <v>-13.3609385783299</v>
      </c>
      <c r="C34" s="15" t="n">
        <f aca="false">(Datos!C34-Datos!C33)/Datos!C33*100</f>
        <v>-31.7629463451112</v>
      </c>
      <c r="D34" s="15" t="n">
        <f aca="false">(Datos!D34-Datos!D33)/Datos!D33*100</f>
        <v>-22.5328947368421</v>
      </c>
    </row>
    <row r="35" customFormat="false" ht="15" hidden="false" customHeight="false" outlineLevel="0" collapsed="false">
      <c r="A35" s="12" t="n">
        <f aca="false">Datos!A35</f>
        <v>2023</v>
      </c>
      <c r="B35" s="16" t="n">
        <f aca="false">(Datos!B35-Datos!B34)/Datos!B34*100</f>
        <v>-1.8161542137964</v>
      </c>
      <c r="C35" s="16" t="n">
        <f aca="false">(Datos!C35-Datos!C34)/Datos!C34*100</f>
        <v>-0.328767123287672</v>
      </c>
      <c r="D35" s="16" t="n">
        <f aca="false">(Datos!D35-Datos!D34)/Datos!D34*100</f>
        <v>6.82059447983016</v>
      </c>
    </row>
    <row r="36" customFormat="false" ht="15" hidden="false" customHeight="false" outlineLevel="0" collapsed="false">
      <c r="A36" s="14" t="n">
        <f aca="false">Datos!A36</f>
        <v>2024</v>
      </c>
      <c r="B36" s="15" t="n">
        <f aca="false">(Datos!B36-Datos!B35)/Datos!B35*100</f>
        <v>-0.795067337335719</v>
      </c>
      <c r="C36" s="15" t="n">
        <f aca="false">(Datos!C36-Datos!C35)/Datos!C35*100</f>
        <v>10.5552501374382</v>
      </c>
      <c r="D36" s="15" t="n">
        <f aca="false">(Datos!D36-Datos!D35)/Datos!D35*100</f>
        <v>8.34782608695651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13</v>
      </c>
      <c r="B1" s="1"/>
      <c r="C1" s="1"/>
      <c r="D1" s="1"/>
    </row>
    <row r="2" customFormat="false" ht="15" hidden="false" customHeight="false" outlineLevel="0" collapsed="false">
      <c r="A2" s="2" t="s">
        <v>14</v>
      </c>
      <c r="B2" s="2"/>
      <c r="C2" s="2"/>
      <c r="D2" s="2"/>
    </row>
    <row r="4" customFormat="false" ht="15" hidden="false" customHeight="false" outlineLevel="0" collapsed="false">
      <c r="A4" s="3" t="s">
        <v>15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17" t="s">
        <v>16</v>
      </c>
      <c r="B5" s="18" t="n">
        <f aca="false">AVERAGE(Datos!B5:B36)</f>
        <v>8.93834375</v>
      </c>
      <c r="C5" s="18" t="n">
        <f aca="false">AVERAGE(Datos!C5:C36)</f>
        <v>5.6318125</v>
      </c>
      <c r="D5" s="18" t="n">
        <f aca="false">AVERAGE(Datos!D5:D36)</f>
        <v>6.0286875</v>
      </c>
    </row>
    <row r="6" customFormat="false" ht="15" hidden="false" customHeight="false" outlineLevel="0" collapsed="false">
      <c r="A6" s="17" t="s">
        <v>17</v>
      </c>
      <c r="B6" s="18" t="n">
        <f aca="false">MEDIAN(Datos!B5:B36)</f>
        <v>9.048</v>
      </c>
      <c r="C6" s="18" t="n">
        <f aca="false">MEDIAN(Datos!C5:C36)</f>
        <v>5.3145</v>
      </c>
      <c r="D6" s="18" t="n">
        <f aca="false">MEDIAN(Datos!D5:D36)</f>
        <v>5.512</v>
      </c>
    </row>
    <row r="7" customFormat="false" ht="15" hidden="false" customHeight="false" outlineLevel="0" collapsed="false">
      <c r="A7" s="17" t="s">
        <v>18</v>
      </c>
      <c r="B7" s="18" t="n">
        <f aca="false">MAX(Datos!B5:B36)</f>
        <v>12.124</v>
      </c>
      <c r="C7" s="18" t="n">
        <f aca="false">MAX(Datos!C5:C36)</f>
        <v>9.633</v>
      </c>
      <c r="D7" s="18" t="n">
        <f aca="false">MAX(Datos!D5:D36)</f>
        <v>10.346</v>
      </c>
    </row>
    <row r="8" customFormat="false" ht="15" hidden="false" customHeight="false" outlineLevel="0" collapsed="false">
      <c r="A8" s="17" t="s">
        <v>19</v>
      </c>
      <c r="B8" s="18" t="n">
        <f aca="false">MIN(Datos!B5:B36)</f>
        <v>6.114</v>
      </c>
      <c r="C8" s="18" t="n">
        <f aca="false">MIN(Datos!C5:C36)</f>
        <v>3.638</v>
      </c>
      <c r="D8" s="18" t="n">
        <f aca="false">MIN(Datos!D5:D36)</f>
        <v>3.657</v>
      </c>
    </row>
    <row r="9" customFormat="false" ht="15" hidden="false" customHeight="false" outlineLevel="0" collapsed="false">
      <c r="A9" s="17" t="s">
        <v>20</v>
      </c>
      <c r="B9" s="18" t="n">
        <f aca="false">STDEV(Datos!B5:B36)</f>
        <v>1.7359723613337</v>
      </c>
      <c r="C9" s="18" t="n">
        <f aca="false">STDEV(Datos!C5:C36)</f>
        <v>1.67138722444329</v>
      </c>
      <c r="D9" s="18" t="n">
        <f aca="false">STDEV(Datos!D5:D36)</f>
        <v>1.80776706745125</v>
      </c>
    </row>
    <row r="10" customFormat="false" ht="15" hidden="false" customHeight="false" outlineLevel="0" collapsed="false">
      <c r="A10" s="17" t="s">
        <v>21</v>
      </c>
      <c r="B10" s="19" t="n">
        <f aca="false">INDEX(Datos!A5:A36,MATCH(MAX(Datos!B5:B36),Datos!B5:B36,0))</f>
        <v>2013</v>
      </c>
      <c r="C10" s="19" t="n">
        <f aca="false">INDEX(Datos!A5:A36,MATCH(MAX(Datos!C5:C36),Datos!C5:C36,0))</f>
        <v>2010</v>
      </c>
      <c r="D10" s="19" t="n">
        <f aca="false">INDEX(Datos!A5:A36,MATCH(MAX(Datos!D5:D36),Datos!D5:D36,0))</f>
        <v>1993</v>
      </c>
    </row>
    <row r="11" customFormat="false" ht="15" hidden="false" customHeight="false" outlineLevel="0" collapsed="false">
      <c r="A11" s="17" t="s">
        <v>22</v>
      </c>
      <c r="B11" s="19" t="n">
        <f aca="false">INDEX(Datos!A5:A36,MATCH(MIN(Datos!B5:B36),Datos!B5:B36,0))</f>
        <v>2024</v>
      </c>
      <c r="C11" s="19" t="n">
        <f aca="false">INDEX(Datos!A5:A36,MATCH(MIN(Datos!C5:C36),Datos!C5:C36,0))</f>
        <v>2023</v>
      </c>
      <c r="D11" s="19" t="n">
        <f aca="false">INDEX(Datos!A5:A36,MATCH(MIN(Datos!D5:D36),Datos!D5:D36,0))</f>
        <v>2019</v>
      </c>
    </row>
    <row r="12" customFormat="false" ht="15" hidden="false" customHeight="false" outlineLevel="0" collapsed="false">
      <c r="A12" s="20" t="s">
        <v>23</v>
      </c>
      <c r="B12" s="21" t="n">
        <f aca="false">B9/B5*100</f>
        <v>19.4216334691056</v>
      </c>
      <c r="C12" s="21" t="n">
        <f aca="false">C9/C5*100</f>
        <v>29.6776077762407</v>
      </c>
      <c r="D12" s="21" t="n">
        <f aca="false">D9/D5*100</f>
        <v>29.9860801783348</v>
      </c>
    </row>
    <row r="13" customFormat="false" ht="15" hidden="false" customHeight="false" outlineLevel="0" collapsed="false">
      <c r="A13" s="20" t="s">
        <v>24</v>
      </c>
      <c r="B13" s="22" t="n">
        <f aca="false">((Datos!B36/Datos!B5)^(1/31)-1)*100</f>
        <v>-1.5285176937044</v>
      </c>
      <c r="C13" s="22" t="n">
        <f aca="false">((Datos!C36/Datos!C5)^(1/31)-1)*100</f>
        <v>-1.72603399074891</v>
      </c>
      <c r="D13" s="22" t="n">
        <f aca="false">((Datos!D36/Datos!D5)^(1/31)-1)*100</f>
        <v>-2.74829740282225</v>
      </c>
    </row>
    <row r="14" customFormat="false" ht="15" hidden="false" customHeight="false" outlineLevel="0" collapsed="false">
      <c r="A14" s="17" t="s">
        <v>25</v>
      </c>
      <c r="B14" s="18" t="n">
        <f aca="false">B7-B8</f>
        <v>6.01</v>
      </c>
      <c r="C14" s="18" t="n">
        <f aca="false">C7-C8</f>
        <v>5.995</v>
      </c>
      <c r="D14" s="18" t="n">
        <f aca="false">D7-D8</f>
        <v>6.689</v>
      </c>
    </row>
    <row r="17" customFormat="false" ht="15" hidden="false" customHeight="false" outlineLevel="0" collapsed="false">
      <c r="A17" s="23" t="s">
        <v>26</v>
      </c>
    </row>
    <row r="18" customFormat="false" ht="15" hidden="false" customHeight="false" outlineLevel="0" collapsed="false">
      <c r="A18" s="24" t="s">
        <v>27</v>
      </c>
      <c r="B18" s="24"/>
      <c r="C18" s="24"/>
      <c r="D18" s="24"/>
      <c r="E18" s="24"/>
      <c r="F18" s="24"/>
      <c r="G18" s="24"/>
      <c r="H18" s="24"/>
    </row>
    <row r="19" customFormat="false" ht="15" hidden="false" customHeight="false" outlineLevel="0" collapsed="false">
      <c r="A19" s="24" t="s">
        <v>28</v>
      </c>
      <c r="B19" s="24"/>
      <c r="C19" s="24"/>
      <c r="D19" s="24"/>
      <c r="E19" s="24"/>
      <c r="F19" s="24"/>
      <c r="G19" s="24"/>
      <c r="H19" s="24"/>
    </row>
    <row r="20" customFormat="false" ht="15" hidden="false" customHeight="false" outlineLevel="0" collapsed="false">
      <c r="A20" s="24" t="s">
        <v>29</v>
      </c>
      <c r="B20" s="24"/>
      <c r="C20" s="24"/>
      <c r="D20" s="24"/>
      <c r="E20" s="24"/>
      <c r="F20" s="24"/>
      <c r="G20" s="24"/>
      <c r="H20" s="24"/>
    </row>
    <row r="21" customFormat="false" ht="15" hidden="false" customHeight="false" outlineLevel="0" collapsed="false">
      <c r="A21" s="24" t="s">
        <v>30</v>
      </c>
      <c r="B21" s="24"/>
      <c r="C21" s="24"/>
      <c r="D21" s="24"/>
      <c r="E21" s="24"/>
      <c r="F21" s="24"/>
      <c r="G21" s="24"/>
      <c r="H21" s="24"/>
    </row>
    <row r="22" customFormat="false" ht="15" hidden="false" customHeight="false" outlineLevel="0" collapsed="false">
      <c r="A22" s="24" t="s">
        <v>31</v>
      </c>
      <c r="B22" s="24"/>
      <c r="C22" s="24"/>
      <c r="D22" s="24"/>
      <c r="E22" s="24"/>
      <c r="F22" s="24"/>
      <c r="G22" s="24"/>
      <c r="H22" s="24"/>
    </row>
    <row r="23" customFormat="false" ht="15" hidden="false" customHeight="false" outlineLevel="0" collapsed="false">
      <c r="A23" s="24" t="s">
        <v>32</v>
      </c>
      <c r="B23" s="24"/>
      <c r="C23" s="24"/>
      <c r="D23" s="24"/>
      <c r="E23" s="24"/>
      <c r="F23" s="24"/>
      <c r="G23" s="24"/>
      <c r="H23" s="24"/>
    </row>
  </sheetData>
  <mergeCells count="8">
    <mergeCell ref="A1:D1"/>
    <mergeCell ref="A2:D2"/>
    <mergeCell ref="A18:H18"/>
    <mergeCell ref="A19:H19"/>
    <mergeCell ref="A20:H20"/>
    <mergeCell ref="A21:H21"/>
    <mergeCell ref="A22:H22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2026-05-12T10:12:28Z</dcterms:created>
  <dc:creator>openpyxl</dc:creator>
  <dc:description/>
  <dc:language>en-US</dc:language>
  <cp:lastModifiedBy/>
  <dcterms:modified xsi:type="dcterms:W3CDTF">2026-05-12T10:12:34Z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
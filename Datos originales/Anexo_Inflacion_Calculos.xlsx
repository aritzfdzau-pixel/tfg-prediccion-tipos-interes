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4800153f987622d/Escritorio/PERSONAL/Investigacion/Trabajo de Fin De Grado - Aritz Fernandez Aulestiarte/Analisis Macroeconomico/Variables/Inflación/"/>
    </mc:Choice>
  </mc:AlternateContent>
  <xr:revisionPtr revIDLastSave="10" documentId="11_C1FDCA420E358B11C99655A03F9DD07183827584" xr6:coauthVersionLast="47" xr6:coauthVersionMax="47" xr10:uidLastSave="{28F1B0CA-2BED-40DA-A0B7-9FBC601FFFE3}"/>
  <bookViews>
    <workbookView xWindow="-110" yWindow="-110" windowWidth="19420" windowHeight="10300" activeTab="1" xr2:uid="{00000000-000D-0000-FFFF-FFFF00000000}"/>
  </bookViews>
  <sheets>
    <sheet name="1. Datos brutos" sheetId="1" r:id="rId1"/>
    <sheet name="2. Estadísticas descriptivas" sheetId="2" r:id="rId2"/>
    <sheet name="3. Mapa de calor" sheetId="3" r:id="rId3"/>
    <sheet name="4. Evolución agrupada" sheetId="4" r:id="rId4"/>
    <sheet name="5. Leyenda de fórmula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A41" i="5"/>
  <c r="A39" i="5"/>
  <c r="A36" i="5"/>
  <c r="A33" i="5"/>
  <c r="A27" i="5"/>
  <c r="A23" i="5"/>
  <c r="A21" i="5"/>
  <c r="A12" i="5"/>
  <c r="A10" i="5"/>
  <c r="A6" i="5"/>
  <c r="A4" i="5"/>
  <c r="H38" i="4"/>
  <c r="G38" i="4"/>
  <c r="F38" i="4"/>
  <c r="E38" i="4"/>
  <c r="D38" i="4"/>
  <c r="C38" i="4"/>
  <c r="B38" i="4"/>
  <c r="H37" i="4"/>
  <c r="G37" i="4"/>
  <c r="F37" i="4"/>
  <c r="E37" i="4"/>
  <c r="D37" i="4"/>
  <c r="C37" i="4"/>
  <c r="B37" i="4"/>
  <c r="H36" i="4"/>
  <c r="G36" i="4"/>
  <c r="F36" i="4"/>
  <c r="E36" i="4"/>
  <c r="D36" i="4"/>
  <c r="C36" i="4"/>
  <c r="B36" i="4"/>
  <c r="H35" i="4"/>
  <c r="G35" i="4"/>
  <c r="F35" i="4"/>
  <c r="E35" i="4"/>
  <c r="D35" i="4"/>
  <c r="C35" i="4"/>
  <c r="B35" i="4"/>
  <c r="H34" i="4"/>
  <c r="G34" i="4"/>
  <c r="F34" i="4"/>
  <c r="E34" i="4"/>
  <c r="D34" i="4"/>
  <c r="C34" i="4"/>
  <c r="B34" i="4"/>
  <c r="H33" i="4"/>
  <c r="G33" i="4"/>
  <c r="F33" i="4"/>
  <c r="E33" i="4"/>
  <c r="D33" i="4"/>
  <c r="C33" i="4"/>
  <c r="B33" i="4"/>
  <c r="H32" i="4"/>
  <c r="G32" i="4"/>
  <c r="F32" i="4"/>
  <c r="E32" i="4"/>
  <c r="D32" i="4"/>
  <c r="C32" i="4"/>
  <c r="B32" i="4"/>
  <c r="H31" i="4"/>
  <c r="G31" i="4"/>
  <c r="F31" i="4"/>
  <c r="E31" i="4"/>
  <c r="D31" i="4"/>
  <c r="C31" i="4"/>
  <c r="B31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8" i="4"/>
  <c r="G28" i="4"/>
  <c r="F28" i="4"/>
  <c r="E28" i="4"/>
  <c r="D28" i="4"/>
  <c r="C28" i="4"/>
  <c r="B28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H25" i="4"/>
  <c r="G25" i="4"/>
  <c r="F25" i="4"/>
  <c r="E25" i="4"/>
  <c r="D25" i="4"/>
  <c r="C25" i="4"/>
  <c r="B25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D16" i="4"/>
  <c r="C16" i="4"/>
  <c r="B16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3" i="4"/>
  <c r="G13" i="4"/>
  <c r="F13" i="4"/>
  <c r="E13" i="4"/>
  <c r="D13" i="4"/>
  <c r="C13" i="4"/>
  <c r="B13" i="4"/>
  <c r="H12" i="4"/>
  <c r="G12" i="4"/>
  <c r="F12" i="4"/>
  <c r="E12" i="4"/>
  <c r="D12" i="4"/>
  <c r="C12" i="4"/>
  <c r="B12" i="4"/>
  <c r="H11" i="4"/>
  <c r="G11" i="4"/>
  <c r="F11" i="4"/>
  <c r="E11" i="4"/>
  <c r="D11" i="4"/>
  <c r="C11" i="4"/>
  <c r="B11" i="4"/>
  <c r="H10" i="4"/>
  <c r="G10" i="4"/>
  <c r="F10" i="4"/>
  <c r="E10" i="4"/>
  <c r="D10" i="4"/>
  <c r="C10" i="4"/>
  <c r="B10" i="4"/>
  <c r="H9" i="4"/>
  <c r="G9" i="4"/>
  <c r="F9" i="4"/>
  <c r="E9" i="4"/>
  <c r="D9" i="4"/>
  <c r="C9" i="4"/>
  <c r="B9" i="4"/>
  <c r="H8" i="4"/>
  <c r="G8" i="4"/>
  <c r="F8" i="4"/>
  <c r="E8" i="4"/>
  <c r="D8" i="4"/>
  <c r="C8" i="4"/>
  <c r="B8" i="4"/>
  <c r="H7" i="4"/>
  <c r="G7" i="4"/>
  <c r="F7" i="4"/>
  <c r="E7" i="4"/>
  <c r="D7" i="4"/>
  <c r="C7" i="4"/>
  <c r="B7" i="4"/>
  <c r="H6" i="4"/>
  <c r="G6" i="4"/>
  <c r="F6" i="4"/>
  <c r="E6" i="4"/>
  <c r="D6" i="4"/>
  <c r="C6" i="4"/>
  <c r="B6" i="4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R26" i="2"/>
  <c r="Q26" i="2"/>
  <c r="P26" i="2"/>
  <c r="O26" i="2"/>
  <c r="N26" i="2"/>
  <c r="M26" i="2"/>
  <c r="K26" i="2"/>
  <c r="J26" i="2"/>
  <c r="I26" i="2"/>
  <c r="L26" i="2" s="1"/>
  <c r="H26" i="2"/>
  <c r="G26" i="2"/>
  <c r="F26" i="2"/>
  <c r="E26" i="2"/>
  <c r="D26" i="2"/>
  <c r="R25" i="2"/>
  <c r="Q25" i="2"/>
  <c r="P25" i="2"/>
  <c r="O25" i="2"/>
  <c r="N25" i="2"/>
  <c r="M25" i="2"/>
  <c r="K25" i="2"/>
  <c r="J25" i="2"/>
  <c r="I25" i="2"/>
  <c r="L25" i="2" s="1"/>
  <c r="H25" i="2"/>
  <c r="G25" i="2"/>
  <c r="F25" i="2"/>
  <c r="E25" i="2"/>
  <c r="D25" i="2"/>
  <c r="R24" i="2"/>
  <c r="Q24" i="2"/>
  <c r="P24" i="2"/>
  <c r="O24" i="2"/>
  <c r="N24" i="2"/>
  <c r="M24" i="2"/>
  <c r="K24" i="2"/>
  <c r="J24" i="2"/>
  <c r="I24" i="2"/>
  <c r="L24" i="2" s="1"/>
  <c r="H24" i="2"/>
  <c r="G24" i="2"/>
  <c r="F24" i="2"/>
  <c r="E24" i="2"/>
  <c r="D24" i="2"/>
  <c r="R23" i="2"/>
  <c r="Q23" i="2"/>
  <c r="P23" i="2"/>
  <c r="O23" i="2"/>
  <c r="N23" i="2"/>
  <c r="M23" i="2"/>
  <c r="K23" i="2"/>
  <c r="J23" i="2"/>
  <c r="I23" i="2"/>
  <c r="L23" i="2" s="1"/>
  <c r="H23" i="2"/>
  <c r="G23" i="2"/>
  <c r="F23" i="2"/>
  <c r="E23" i="2"/>
  <c r="D23" i="2"/>
  <c r="R22" i="2"/>
  <c r="Q22" i="2"/>
  <c r="P22" i="2"/>
  <c r="O22" i="2"/>
  <c r="N22" i="2"/>
  <c r="M22" i="2"/>
  <c r="K22" i="2"/>
  <c r="J22" i="2"/>
  <c r="I22" i="2"/>
  <c r="L22" i="2" s="1"/>
  <c r="H22" i="2"/>
  <c r="G22" i="2"/>
  <c r="F22" i="2"/>
  <c r="E22" i="2"/>
  <c r="D22" i="2"/>
  <c r="R21" i="2"/>
  <c r="Q21" i="2"/>
  <c r="P21" i="2"/>
  <c r="O21" i="2"/>
  <c r="N21" i="2"/>
  <c r="M21" i="2"/>
  <c r="K21" i="2"/>
  <c r="J21" i="2"/>
  <c r="I21" i="2"/>
  <c r="L21" i="2" s="1"/>
  <c r="H21" i="2"/>
  <c r="G21" i="2"/>
  <c r="F21" i="2"/>
  <c r="E21" i="2"/>
  <c r="D21" i="2"/>
  <c r="R20" i="2"/>
  <c r="Q20" i="2"/>
  <c r="P20" i="2"/>
  <c r="O20" i="2"/>
  <c r="N20" i="2"/>
  <c r="M20" i="2"/>
  <c r="K20" i="2"/>
  <c r="J20" i="2"/>
  <c r="I20" i="2"/>
  <c r="L20" i="2" s="1"/>
  <c r="H20" i="2"/>
  <c r="G20" i="2"/>
  <c r="F20" i="2"/>
  <c r="E20" i="2"/>
  <c r="D20" i="2"/>
  <c r="R19" i="2"/>
  <c r="Q19" i="2"/>
  <c r="P19" i="2"/>
  <c r="O19" i="2"/>
  <c r="N19" i="2"/>
  <c r="M19" i="2"/>
  <c r="K19" i="2"/>
  <c r="J19" i="2"/>
  <c r="I19" i="2"/>
  <c r="L19" i="2" s="1"/>
  <c r="H19" i="2"/>
  <c r="G19" i="2"/>
  <c r="F19" i="2"/>
  <c r="E19" i="2"/>
  <c r="D19" i="2"/>
  <c r="R18" i="2"/>
  <c r="Q18" i="2"/>
  <c r="P18" i="2"/>
  <c r="O18" i="2"/>
  <c r="N18" i="2"/>
  <c r="M18" i="2"/>
  <c r="K18" i="2"/>
  <c r="J18" i="2"/>
  <c r="I18" i="2"/>
  <c r="L18" i="2" s="1"/>
  <c r="H18" i="2"/>
  <c r="G18" i="2"/>
  <c r="F18" i="2"/>
  <c r="E18" i="2"/>
  <c r="D18" i="2"/>
  <c r="R17" i="2"/>
  <c r="Q17" i="2"/>
  <c r="P17" i="2"/>
  <c r="O17" i="2"/>
  <c r="N17" i="2"/>
  <c r="M17" i="2"/>
  <c r="K17" i="2"/>
  <c r="J17" i="2"/>
  <c r="I17" i="2"/>
  <c r="L17" i="2" s="1"/>
  <c r="H17" i="2"/>
  <c r="G17" i="2"/>
  <c r="F17" i="2"/>
  <c r="E17" i="2"/>
  <c r="D17" i="2"/>
  <c r="R16" i="2"/>
  <c r="Q16" i="2"/>
  <c r="P16" i="2"/>
  <c r="O16" i="2"/>
  <c r="N16" i="2"/>
  <c r="M16" i="2"/>
  <c r="K16" i="2"/>
  <c r="J16" i="2"/>
  <c r="I16" i="2"/>
  <c r="L16" i="2" s="1"/>
  <c r="H16" i="2"/>
  <c r="G16" i="2"/>
  <c r="F16" i="2"/>
  <c r="E16" i="2"/>
  <c r="D16" i="2"/>
  <c r="R15" i="2"/>
  <c r="Q15" i="2"/>
  <c r="P15" i="2"/>
  <c r="O15" i="2"/>
  <c r="N15" i="2"/>
  <c r="M15" i="2"/>
  <c r="K15" i="2"/>
  <c r="J15" i="2"/>
  <c r="I15" i="2"/>
  <c r="L15" i="2" s="1"/>
  <c r="H15" i="2"/>
  <c r="G15" i="2"/>
  <c r="F15" i="2"/>
  <c r="E15" i="2"/>
  <c r="D15" i="2"/>
  <c r="R14" i="2"/>
  <c r="Q14" i="2"/>
  <c r="P14" i="2"/>
  <c r="O14" i="2"/>
  <c r="N14" i="2"/>
  <c r="M14" i="2"/>
  <c r="K14" i="2"/>
  <c r="J14" i="2"/>
  <c r="I14" i="2"/>
  <c r="L14" i="2" s="1"/>
  <c r="H14" i="2"/>
  <c r="G14" i="2"/>
  <c r="F14" i="2"/>
  <c r="E14" i="2"/>
  <c r="D14" i="2"/>
  <c r="R13" i="2"/>
  <c r="Q13" i="2"/>
  <c r="P13" i="2"/>
  <c r="O13" i="2"/>
  <c r="N13" i="2"/>
  <c r="M13" i="2"/>
  <c r="K13" i="2"/>
  <c r="J13" i="2"/>
  <c r="I13" i="2"/>
  <c r="L13" i="2" s="1"/>
  <c r="H13" i="2"/>
  <c r="G13" i="2"/>
  <c r="F13" i="2"/>
  <c r="E13" i="2"/>
  <c r="D13" i="2"/>
  <c r="R12" i="2"/>
  <c r="Q12" i="2"/>
  <c r="P12" i="2"/>
  <c r="O12" i="2"/>
  <c r="N12" i="2"/>
  <c r="M12" i="2"/>
  <c r="K12" i="2"/>
  <c r="J12" i="2"/>
  <c r="I12" i="2"/>
  <c r="L12" i="2" s="1"/>
  <c r="H12" i="2"/>
  <c r="G12" i="2"/>
  <c r="F12" i="2"/>
  <c r="E12" i="2"/>
  <c r="D12" i="2"/>
  <c r="R11" i="2"/>
  <c r="Q11" i="2"/>
  <c r="P11" i="2"/>
  <c r="O11" i="2"/>
  <c r="N11" i="2"/>
  <c r="M11" i="2"/>
  <c r="K11" i="2"/>
  <c r="J11" i="2"/>
  <c r="I11" i="2"/>
  <c r="L11" i="2" s="1"/>
  <c r="H11" i="2"/>
  <c r="G11" i="2"/>
  <c r="F11" i="2"/>
  <c r="E11" i="2"/>
  <c r="D11" i="2"/>
  <c r="R10" i="2"/>
  <c r="Q10" i="2"/>
  <c r="P10" i="2"/>
  <c r="O10" i="2"/>
  <c r="N10" i="2"/>
  <c r="M10" i="2"/>
  <c r="K10" i="2"/>
  <c r="J10" i="2"/>
  <c r="I10" i="2"/>
  <c r="L10" i="2" s="1"/>
  <c r="H10" i="2"/>
  <c r="G10" i="2"/>
  <c r="F10" i="2"/>
  <c r="E10" i="2"/>
  <c r="D10" i="2"/>
  <c r="R9" i="2"/>
  <c r="Q9" i="2"/>
  <c r="P9" i="2"/>
  <c r="O9" i="2"/>
  <c r="N9" i="2"/>
  <c r="M9" i="2"/>
  <c r="K9" i="2"/>
  <c r="J9" i="2"/>
  <c r="I9" i="2"/>
  <c r="L9" i="2" s="1"/>
  <c r="H9" i="2"/>
  <c r="G9" i="2"/>
  <c r="F9" i="2"/>
  <c r="E9" i="2"/>
  <c r="D9" i="2"/>
  <c r="R8" i="2"/>
  <c r="Q8" i="2"/>
  <c r="P8" i="2"/>
  <c r="O8" i="2"/>
  <c r="N8" i="2"/>
  <c r="M8" i="2"/>
  <c r="K8" i="2"/>
  <c r="J8" i="2"/>
  <c r="I8" i="2"/>
  <c r="L8" i="2" s="1"/>
  <c r="H8" i="2"/>
  <c r="G8" i="2"/>
  <c r="F8" i="2"/>
  <c r="E8" i="2"/>
  <c r="D8" i="2"/>
  <c r="R7" i="2"/>
  <c r="Q7" i="2"/>
  <c r="P7" i="2"/>
  <c r="O7" i="2"/>
  <c r="N7" i="2"/>
  <c r="M7" i="2"/>
  <c r="K7" i="2"/>
  <c r="J7" i="2"/>
  <c r="I7" i="2"/>
  <c r="L7" i="2" s="1"/>
  <c r="H7" i="2"/>
  <c r="G7" i="2"/>
  <c r="F7" i="2"/>
  <c r="E7" i="2"/>
  <c r="D7" i="2"/>
  <c r="R6" i="2"/>
  <c r="Q6" i="2"/>
  <c r="P6" i="2"/>
  <c r="O6" i="2"/>
  <c r="N6" i="2"/>
  <c r="M6" i="2"/>
  <c r="K6" i="2"/>
  <c r="J6" i="2"/>
  <c r="I6" i="2"/>
  <c r="L6" i="2" s="1"/>
  <c r="H6" i="2"/>
  <c r="G6" i="2"/>
  <c r="F6" i="2"/>
  <c r="E6" i="2"/>
  <c r="D6" i="2"/>
  <c r="R5" i="2"/>
  <c r="Q5" i="2"/>
  <c r="P5" i="2"/>
  <c r="O5" i="2"/>
  <c r="N5" i="2"/>
  <c r="M5" i="2"/>
  <c r="K5" i="2"/>
  <c r="J5" i="2"/>
  <c r="I5" i="2"/>
  <c r="L5" i="2" s="1"/>
  <c r="H5" i="2"/>
  <c r="G5" i="2"/>
  <c r="F5" i="2"/>
  <c r="E5" i="2"/>
</calcChain>
</file>

<file path=xl/sharedStrings.xml><?xml version="1.0" encoding="utf-8"?>
<sst xmlns="http://schemas.openxmlformats.org/spreadsheetml/2006/main" count="273" uniqueCount="149">
  <si>
    <t>DATOS BRUTOS — Inflación anual (%) · 1993–2025 · Fuente: Variables_y_tipos_de_interes.xlsx</t>
  </si>
  <si>
    <t>Esta hoja contiene los valores numéricos originales. Todas las hojas siguientes referencian esta tabla con fórmulas.</t>
  </si>
  <si>
    <t>Código</t>
  </si>
  <si>
    <t>País</t>
  </si>
  <si>
    <t>Grupo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</si>
  <si>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</si>
  <si>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</si>
  <si>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</si>
  <si>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</si>
  <si>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</si>
  <si>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</si>
  <si>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</si>
  <si>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</si>
  <si>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</si>
  <si>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</si>
  <si>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</si>
  <si>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</si>
  <si>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</si>
  <si>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</si>
  <si>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</si>
  <si>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</si>
  <si>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</si>
  <si>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</si>
  <si>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</si>
  <si>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</si>
  <si>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</si>
  <si>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</si>
  <si>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</si>
  <si>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</si>
  <si>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</si>
  <si>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</si>
  <si>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</si>
  <si>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</si>
  <si>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</si>
  <si>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</si>
  <si>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</si>
  <si>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</si>
  <si>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</si>
  <si>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DEU</t>
  </si>
  <si>
    <t>Alemania</t>
  </si>
  <si>
    <t>Eurozona core</t>
  </si>
  <si>
    <t>AUT</t>
  </si>
  <si>
    <t>Austria</t>
  </si>
  <si>
    <t>BEL</t>
  </si>
  <si>
    <t>Bélgica</t>
  </si>
  <si>
    <t>CYP</t>
  </si>
  <si>
    <t>Chipre</t>
  </si>
  <si>
    <t>HRV</t>
  </si>
  <si>
    <t>Croacia</t>
  </si>
  <si>
    <t>SVK</t>
  </si>
  <si>
    <t>Eslovaquia</t>
  </si>
  <si>
    <t>SVN</t>
  </si>
  <si>
    <t>Eslovenia</t>
  </si>
  <si>
    <t>ESP</t>
  </si>
  <si>
    <t>España</t>
  </si>
  <si>
    <t>EST</t>
  </si>
  <si>
    <t>Estonia</t>
  </si>
  <si>
    <t>Bálticos</t>
  </si>
  <si>
    <t>FIN</t>
  </si>
  <si>
    <t>Finlandia</t>
  </si>
  <si>
    <t>FRA</t>
  </si>
  <si>
    <t>Francia</t>
  </si>
  <si>
    <t>GRC</t>
  </si>
  <si>
    <t>Grecia</t>
  </si>
  <si>
    <t>IRL</t>
  </si>
  <si>
    <t>Irlanda</t>
  </si>
  <si>
    <t>ITA</t>
  </si>
  <si>
    <t>Italia</t>
  </si>
  <si>
    <t>LVA</t>
  </si>
  <si>
    <t>Letonia</t>
  </si>
  <si>
    <t>LTU</t>
  </si>
  <si>
    <t>Lituania</t>
  </si>
  <si>
    <t>LUX</t>
  </si>
  <si>
    <t>Luxemburgo</t>
  </si>
  <si>
    <t>MLT</t>
  </si>
  <si>
    <t>Malta</t>
  </si>
  <si>
    <t>NLD</t>
  </si>
  <si>
    <t>P. Bajos</t>
  </si>
  <si>
    <t>PRT</t>
  </si>
  <si>
    <t>Portugal</t>
  </si>
  <si>
    <t>USA</t>
  </si>
  <si>
    <t>EE.UU.</t>
  </si>
  <si>
    <t>GBR</t>
  </si>
  <si>
    <t>Reino Unido</t>
  </si>
  <si>
    <t>ESTADÍSTICAS DESCRIPTIVAS — Fórmulas referenciando '1. Datos brutos' · Azul=serie completa · Verde=serie limpia (≤30%)</t>
  </si>
  <si>
    <t>STDEV/PERCENTILE/MEDIAN sobre serie limpia usan fórmulas matriciales IF(). En Excel clásico confirmar con Ctrl+Shift+Enter.</t>
  </si>
  <si>
    <t>Identificación</t>
  </si>
  <si>
    <t>Serie completa</t>
  </si>
  <si>
    <t>Serie limpia (excl. &gt;30%)</t>
  </si>
  <si>
    <t>Percentiles (limpia)</t>
  </si>
  <si>
    <t>Frecuencias</t>
  </si>
  <si>
    <t>Media
completa</t>
  </si>
  <si>
    <t>Desv.típ.
completa</t>
  </si>
  <si>
    <t>Mín.</t>
  </si>
  <si>
    <t>Año mín.</t>
  </si>
  <si>
    <t>Máx.</t>
  </si>
  <si>
    <t>Media
limpia</t>
  </si>
  <si>
    <t>Desv.típ.
limpia</t>
  </si>
  <si>
    <t>Mediana
limpia</t>
  </si>
  <si>
    <t>CV limpia
(%)</t>
  </si>
  <si>
    <t>IQR
limpio</t>
  </si>
  <si>
    <t>P25</t>
  </si>
  <si>
    <t>P75</t>
  </si>
  <si>
    <t>N obs.</t>
  </si>
  <si>
    <t>N extremos
(&gt;30%)</t>
  </si>
  <si>
    <t>N deflación
(&lt;0%)</t>
  </si>
  <si>
    <t>MAPA DE CALOR — Fórmula: =SI(ESNUMERO(ref),SI(ref&gt;30,"Hiper.",ref),"")  ·  Colores aplicados por rangos</t>
  </si>
  <si>
    <t>Cada celda referencia directamente '1. Datos brutos'. Los colores son fijos (no fórmula) para ser compatibles con Word.</t>
  </si>
  <si>
    <t>Leyenda:</t>
  </si>
  <si>
    <t>Deflación (&lt;0%)</t>
  </si>
  <si>
    <t>0–2%</t>
  </si>
  <si>
    <t>2–5%</t>
  </si>
  <si>
    <t>5–10%</t>
  </si>
  <si>
    <t>&gt;10%</t>
  </si>
  <si>
    <t>Hiper. (&gt;30%)</t>
  </si>
  <si>
    <t>EVOLUCIÓN AGRUPADA — Fórmulas AVERAGEIF / AVERAGEIFS sobre '1. Datos brutos' · Col C = grupo</t>
  </si>
  <si>
    <t>Grupos: Eurozona core (17 países) · Bálticos: EST,LVA,LTU · Reino Unido: GBR · EE.UU.: USA</t>
  </si>
  <si>
    <t>Año</t>
  </si>
  <si>
    <t>Eurozona core
=AVERAGEIF(grupo,"Eurozona core",año)</t>
  </si>
  <si>
    <t>Bálticos (con hiper.)
=AVERAGEIF(grupo,"Bálticos",año)</t>
  </si>
  <si>
    <t>Bálticos limpio
=AVERAGEIFS(año,grupo,"Bálticos",año,"&lt;=30")</t>
  </si>
  <si>
    <t>Reino Unido
=AVERAGEIF(grupo,"Reino Unido",año)</t>
  </si>
  <si>
    <t>EE.UU.
=AVERAGEIF(grupo,"EE.UU.",año)</t>
  </si>
  <si>
    <t>Media global
=AVERAGE(año)</t>
  </si>
  <si>
    <t>Desv.típ. global
=STDEV(año)</t>
  </si>
  <si>
    <t>LEYENDA DE FÓRMULAS — GUÍA DE REFERENCIA</t>
  </si>
  <si>
    <t>HOJA 2 — ESTADÍSTICAS DESCRIPTIVAS</t>
  </si>
  <si>
    <t xml:space="preserve">  Media aritmética de todos los valores numéricos del rango (incluye extremos).</t>
  </si>
  <si>
    <t xml:space="preserve">  Desviación típica muestral con corrección de Bessel (ddof=1). Divide entre n-1.</t>
  </si>
  <si>
    <t xml:space="preserve">  Valor mínimo y máximo de la serie completa.</t>
  </si>
  <si>
    <t xml:space="preserve">  Devuelve el año del valor mínimo. MATCH localiza su posición; INDEX devuelve el año correspondiente.</t>
  </si>
  <si>
    <t xml:space="preserve">  Media de los valores que cumplen la condición ≤30% (excluye hiperinflaciones). Serie limpia.</t>
  </si>
  <si>
    <t xml:space="preserve">  Desviación típica de la serie limpia. En Excel clásico: confirmar con Ctrl+Shift+Enter.</t>
  </si>
  <si>
    <t xml:space="preserve">  En Excel 365 / Google Sheets se evalúa directamente.</t>
  </si>
  <si>
    <t xml:space="preserve">  Percentil 25 o 75 sobre la serie limpia. Misma lógica matricial IF.</t>
  </si>
  <si>
    <t xml:space="preserve">  Mediana sobre la serie limpia.</t>
  </si>
  <si>
    <t xml:space="preserve">  Número de observaciones con inflación &gt;30% (episodios extremos a excluir del modelo).</t>
  </si>
  <si>
    <t xml:space="preserve">  Número de observaciones con inflación negativa (episodios deflacionarios).</t>
  </si>
  <si>
    <t>HOJA 3 — MAPA DE CALOR</t>
  </si>
  <si>
    <t xml:space="preserve">  Si la celda origen tiene número: muestra 'Hiper.' si &gt;30%, o el valor si no.</t>
  </si>
  <si>
    <t xml:space="preserve">  Si la celda está vacía (sin dato), devuelve cadena vacía.</t>
  </si>
  <si>
    <t xml:space="preserve">  Los colores de fondo se asignan manualmente por rangos (fijo, para compatibilidad Word/PDF).</t>
  </si>
  <si>
    <t>HOJA 4 — EVOLUCIÓN AGRUPADA</t>
  </si>
  <si>
    <t xml:space="preserve">  Media del año para todos los países cuyo grupo (col C de Datos brutos) sea 'Eurozona core'.</t>
  </si>
  <si>
    <t xml:space="preserve">  Se repite con "Bálticos", "Reino Unido", "EE.UU." para cada grupo.</t>
  </si>
  <si>
    <t xml:space="preserve">  Media de los Bálticos EXCLUYENDO valores &gt;30%. Usa dos criterios simultáneos.</t>
  </si>
  <si>
    <t xml:space="preserve">  Elimina las hiperinflaciones 1993-1996 del cálculo agrupado limpio.</t>
  </si>
  <si>
    <t xml:space="preserve">  Media global de todos los países para ese año (sin filtro de grupo).</t>
  </si>
  <si>
    <t xml:space="preserve">  Dispersión entre países ese año: un valor alto indica mayor divergencia inflacionaria entre economías.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</si>
</sst>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1"/>
      <color theme="1"/>
      <name val="Calibri"/>
      <family val="2"/>
      <scheme val="minor"/>
    </font>
    <font>
      <b/>
      <sz val="12"/>
      <color rgb="FF1F3864"/>
      <name val="Arial"/>
      <family val="2"/>
    </font>
    <font>
      <i/>
      <sz val="8"/>
      <color rgb="FFC55A11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1F3864"/>
      <name val="Arial"/>
      <family val="2"/>
    </font>
    <font>
      <i/>
      <sz val="8"/>
      <color rgb="FF666666"/>
      <name val="Arial"/>
      <family val="2"/>
    </font>
    <font>
      <b/>
      <sz val="8"/>
      <color rgb="FFFFFFFF"/>
      <name val="Arial"/>
      <family val="2"/>
    </font>
    <font>
      <sz val="9"/>
      <color rgb="FF0C447C"/>
      <name val="Arial"/>
      <family val="2"/>
    </font>
    <font>
      <sz val="9"/>
      <color rgb="FF27500A"/>
      <name val="Arial"/>
      <family val="2"/>
    </font>
    <font>
      <sz val="9"/>
      <color rgb="FF534AB7"/>
      <name val="Arial"/>
      <family val="2"/>
    </font>
    <font>
      <sz val="9"/>
      <color rgb="FFC55A11"/>
      <name val="Arial"/>
      <family val="2"/>
    </font>
    <font>
      <sz val="9"/>
      <color rgb="FF4472C4"/>
      <name val="Arial"/>
      <family val="2"/>
    </font>
    <font>
      <b/>
      <sz val="8"/>
      <color rgb="FF000000"/>
      <name val="Arial"/>
      <family val="2"/>
    </font>
    <font>
      <b/>
      <sz val="8"/>
      <color rgb="FF7F6000"/>
      <name val="Arial"/>
      <family val="2"/>
    </font>
    <font>
      <b/>
      <sz val="9"/>
      <color rgb="FF0C447C"/>
      <name val="Arial"/>
      <family val="2"/>
    </font>
    <font>
      <sz val="8"/>
      <color rgb="FF7F6000"/>
      <name val="Arial"/>
      <family val="2"/>
    </font>
    <font>
      <sz val="8"/>
      <color rgb="FF1F3864"/>
      <name val="Arial"/>
      <family val="2"/>
    </font>
    <font>
      <sz val="8"/>
      <color rgb="FFFFFFFF"/>
      <name val="Arial"/>
      <family val="2"/>
    </font>
    <font>
      <sz val="9"/>
      <color rgb="FF992600"/>
      <name val="Arial"/>
      <family val="2"/>
    </font>
    <font>
      <sz val="9"/>
      <color rgb="FF843C00"/>
      <name val="Arial"/>
      <family val="2"/>
    </font>
    <font>
      <sz val="9"/>
      <color rgb="FF085041"/>
      <name val="Arial"/>
      <family val="2"/>
    </font>
    <font>
      <sz val="9"/>
      <color rgb="FF412402"/>
      <name val="Arial"/>
      <family val="2"/>
    </font>
    <font>
      <b/>
      <sz val="10"/>
      <color rgb="FF2E5C99"/>
      <name val="Arial"/>
      <family val="2"/>
    </font>
    <font>
      <sz val="9"/>
      <color rgb="FF444444"/>
      <name val="Arial"/>
      <family val="2"/>
    </font>
    <font>
      <b/>
      <sz val="9"/>
      <color rgb="FF27500A"/>
      <name val="Arial"/>
      <family val="2"/>
    </font>
    <font>
      <b/>
      <sz val="9"/>
      <color rgb="FFC55A11"/>
      <name val="Arial"/>
      <family val="2"/>
    </font>
    <font>
      <sz val="9"/>
      <color rgb="FF666666"/>
      <name val="Arial"/>
      <family val="2"/>
    </font>
    <font>
      <b/>
      <sz val="9"/>
      <color rgb="FF534AB7"/>
      <name val="Arial"/>
      <family val="2"/>
    </font>
    <font>
      <b/>
      <sz val="9"/>
      <color rgb="FF4472C4"/>
      <name val="Arial"/>
      <family val="2"/>
    </font>
    <font>
      <b/>
      <sz val="9"/>
      <color rgb="FF185FA5"/>
      <name val="Arial"/>
      <family val="2"/>
    </font>
    <font>
      <b/>
      <sz val="9"/>
      <color rgb="FFED7D31"/>
      <name val="Arial"/>
      <family val="2"/>
    </font>
    <font>
      <b/>
      <sz val="12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9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E5C99"/>
      </patternFill>
    </fill>
    <fill>
      <patternFill patternType="solid">
        <fgColor rgb="FF4472C4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595959"/>
      </patternFill>
    </fill>
    <fill>
      <patternFill patternType="solid">
        <fgColor rgb="FFFFFF99"/>
      </patternFill>
    </fill>
    <fill>
      <patternFill patternType="solid">
        <fgColor rgb="FFFFD966"/>
      </patternFill>
    </fill>
    <fill>
      <patternFill patternType="solid">
        <fgColor rgb="FFFF9900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FFE066"/>
      </patternFill>
    </fill>
    <fill>
      <patternFill patternType="solid">
        <fgColor rgb="FFBDD7EE"/>
      </patternFill>
    </fill>
    <fill>
      <patternFill patternType="solid">
        <fgColor rgb="FFFF7F00"/>
      </patternFill>
    </fill>
    <fill>
      <patternFill patternType="solid">
        <fgColor rgb="FF185FA5"/>
      </patternFill>
    </fill>
    <fill>
      <patternFill patternType="solid">
        <fgColor rgb="FFD85A30"/>
      </patternFill>
    </fill>
    <fill>
      <patternFill patternType="solid">
        <fgColor rgb="FFED7D31"/>
      </patternFill>
    </fill>
    <fill>
      <patternFill patternType="solid">
        <fgColor rgb="FF0F6E56"/>
      </patternFill>
    </fill>
    <fill>
      <patternFill patternType="solid">
        <fgColor rgb="FF854F0B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2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left" vertical="center"/>
    </xf>
    <xf numFmtId="164" fontId="18" fillId="14" borderId="1" xfId="0" applyNumberFormat="1" applyFont="1" applyFill="1" applyBorder="1" applyAlignment="1">
      <alignment horizontal="center" vertical="center"/>
    </xf>
    <xf numFmtId="164" fontId="18" fillId="18" borderId="1" xfId="0" applyNumberFormat="1" applyFont="1" applyFill="1" applyBorder="1" applyAlignment="1">
      <alignment horizontal="center" vertical="center"/>
    </xf>
    <xf numFmtId="164" fontId="18" fillId="13" borderId="1" xfId="0" applyNumberFormat="1" applyFont="1" applyFill="1" applyBorder="1" applyAlignment="1">
      <alignment horizontal="center" vertical="center"/>
    </xf>
    <xf numFmtId="164" fontId="19" fillId="19" borderId="1" xfId="0" applyNumberFormat="1" applyFont="1" applyFill="1" applyBorder="1" applyAlignment="1">
      <alignment horizontal="center" vertical="center"/>
    </xf>
    <xf numFmtId="164" fontId="20" fillId="15" borderId="1" xfId="0" applyNumberFormat="1" applyFont="1" applyFill="1" applyBorder="1" applyAlignment="1">
      <alignment horizontal="center" vertical="center"/>
    </xf>
    <xf numFmtId="164" fontId="20" fillId="20" borderId="1" xfId="0" applyNumberFormat="1" applyFont="1" applyFill="1" applyBorder="1" applyAlignment="1">
      <alignment horizontal="center" vertical="center"/>
    </xf>
    <xf numFmtId="164" fontId="20" fillId="9" borderId="1" xfId="0" applyNumberFormat="1" applyFont="1" applyFill="1" applyBorder="1" applyAlignment="1">
      <alignment horizontal="center" vertical="center"/>
    </xf>
    <xf numFmtId="164" fontId="20" fillId="16" borderId="1" xfId="0" applyNumberFormat="1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" vertical="center"/>
    </xf>
    <xf numFmtId="2" fontId="24" fillId="3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2" fontId="21" fillId="5" borderId="1" xfId="0" applyNumberFormat="1" applyFont="1" applyFill="1" applyBorder="1" applyAlignment="1">
      <alignment horizontal="center" vertical="center"/>
    </xf>
    <xf numFmtId="2" fontId="22" fillId="5" borderId="1" xfId="0" applyNumberFormat="1" applyFont="1" applyFill="1" applyBorder="1" applyAlignment="1">
      <alignment horizontal="center" vertical="center"/>
    </xf>
    <xf numFmtId="2" fontId="23" fillId="5" borderId="1" xfId="0" applyNumberFormat="1" applyFont="1" applyFill="1" applyBorder="1" applyAlignment="1">
      <alignment horizontal="center" vertical="center"/>
    </xf>
    <xf numFmtId="2" fontId="24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9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5" fillId="0" borderId="0" xfId="0" applyFont="1"/>
    <xf numFmtId="0" fontId="3" fillId="26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ES"/>
              <a:t>Evolución agrupada inflación (1993-2025)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'4. Evolución agrupada'!$B$5</c:f>
              <c:strCache>
                <c:ptCount val="1"/>
                <c:pt idx="0">
                  <c:v>Eurozona core
=AVERAGEIF(grupo,"Eurozona core",año)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'4. Evolución agrupada'!$A$6:$A$38</c:f>
              <c:numCache>
                <c:formatCode>0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'4. Evolución agrupada'!$B$6:$B$38</c:f>
              <c:numCache>
                <c:formatCode>0.00</c:formatCode>
                <c:ptCount val="33"/>
                <c:pt idx="0">
                  <c:v>95.13</c:v>
                </c:pt>
                <c:pt idx="1">
                  <c:v>11.394117647058824</c:v>
                </c:pt>
                <c:pt idx="2">
                  <c:v>4.2164705882352935</c:v>
                </c:pt>
                <c:pt idx="3">
                  <c:v>3.3441176470588228</c:v>
                </c:pt>
                <c:pt idx="4">
                  <c:v>2.9158823529411761</c:v>
                </c:pt>
                <c:pt idx="5">
                  <c:v>2.7570588235294111</c:v>
                </c:pt>
                <c:pt idx="6">
                  <c:v>2.4858823529411769</c:v>
                </c:pt>
                <c:pt idx="7">
                  <c:v>3.8923529411764699</c:v>
                </c:pt>
                <c:pt idx="8">
                  <c:v>3.6170588235294119</c:v>
                </c:pt>
                <c:pt idx="9">
                  <c:v>2.8470588235294119</c:v>
                </c:pt>
                <c:pt idx="10">
                  <c:v>2.8441176470588232</c:v>
                </c:pt>
                <c:pt idx="11">
                  <c:v>2.5076470588235287</c:v>
                </c:pt>
                <c:pt idx="12">
                  <c:v>2.4047058823529408</c:v>
                </c:pt>
                <c:pt idx="13">
                  <c:v>2.5229411764705887</c:v>
                </c:pt>
                <c:pt idx="14">
                  <c:v>2.4711764705882353</c:v>
                </c:pt>
                <c:pt idx="15">
                  <c:v>3.9164705882352941</c:v>
                </c:pt>
                <c:pt idx="16">
                  <c:v>0.35705882352941165</c:v>
                </c:pt>
                <c:pt idx="17">
                  <c:v>1.624705882352941</c:v>
                </c:pt>
                <c:pt idx="18">
                  <c:v>2.9370588235294117</c:v>
                </c:pt>
                <c:pt idx="19">
                  <c:v>2.5329411764705889</c:v>
                </c:pt>
                <c:pt idx="20">
                  <c:v>1.1682352941176473</c:v>
                </c:pt>
                <c:pt idx="21">
                  <c:v>0.20999999999999996</c:v>
                </c:pt>
                <c:pt idx="22">
                  <c:v>-8.7647058823529439E-2</c:v>
                </c:pt>
                <c:pt idx="23">
                  <c:v>8.9411764705882357E-2</c:v>
                </c:pt>
                <c:pt idx="24">
                  <c:v>1.3182352941176469</c:v>
                </c:pt>
                <c:pt idx="25">
                  <c:v>1.4817647058823529</c:v>
                </c:pt>
                <c:pt idx="26">
                  <c:v>1.2182352941176469</c:v>
                </c:pt>
                <c:pt idx="27">
                  <c:v>0.3005882352941176</c:v>
                </c:pt>
                <c:pt idx="28">
                  <c:v>2.2752941176470594</c:v>
                </c:pt>
                <c:pt idx="29">
                  <c:v>8.3841176470588259</c:v>
                </c:pt>
                <c:pt idx="30">
                  <c:v>5.5464705882352945</c:v>
                </c:pt>
                <c:pt idx="31">
                  <c:v>2.322352941176471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DF-4419-AE5F-DF4A2018673A}"/>
            </c:ext>
          </c:extLst>
        </c:ser>
        <c:ser>
          <c:idx val="1"/>
          <c:order val="1"/>
          <c:tx>
            <c:strRef>
              <c:f>'4. Evolución agrupada'!$D$5</c:f>
              <c:strCache>
                <c:ptCount val="1"/>
                <c:pt idx="0">
                  <c:v>Bálticos limpio
=AVERAGEIFS(año,grupo,"Bálticos",año,"&lt;=30")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'4. Evolución agrupada'!$A$6:$A$38</c:f>
              <c:numCache>
                <c:formatCode>0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'4. Evolución agrupada'!$D$6:$D$38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26.880000000000003</c:v>
                </c:pt>
                <c:pt idx="3">
                  <c:v>21.763333333333332</c:v>
                </c:pt>
                <c:pt idx="4">
                  <c:v>9.3033333333333346</c:v>
                </c:pt>
                <c:pt idx="5">
                  <c:v>5.9733333333333336</c:v>
                </c:pt>
                <c:pt idx="6">
                  <c:v>2.1300000000000003</c:v>
                </c:pt>
                <c:pt idx="7">
                  <c:v>2.5500000000000003</c:v>
                </c:pt>
                <c:pt idx="8">
                  <c:v>3.2033333333333331</c:v>
                </c:pt>
                <c:pt idx="9">
                  <c:v>1.93</c:v>
                </c:pt>
                <c:pt idx="10">
                  <c:v>1.0466666666666666</c:v>
                </c:pt>
                <c:pt idx="11">
                  <c:v>3.4666666666666668</c:v>
                </c:pt>
                <c:pt idx="12">
                  <c:v>4.496666666666667</c:v>
                </c:pt>
                <c:pt idx="13">
                  <c:v>4.9066666666666672</c:v>
                </c:pt>
                <c:pt idx="14">
                  <c:v>7.4766666666666666</c:v>
                </c:pt>
                <c:pt idx="15">
                  <c:v>12.229999999999999</c:v>
                </c:pt>
                <c:pt idx="16">
                  <c:v>2.6333333333333333</c:v>
                </c:pt>
                <c:pt idx="17">
                  <c:v>1.07</c:v>
                </c:pt>
                <c:pt idx="18">
                  <c:v>4.4933333333333332</c:v>
                </c:pt>
                <c:pt idx="19">
                  <c:v>3.0933333333333333</c:v>
                </c:pt>
                <c:pt idx="20">
                  <c:v>1.2666666666666666</c:v>
                </c:pt>
                <c:pt idx="21">
                  <c:v>0.20333333333333334</c:v>
                </c:pt>
                <c:pt idx="22">
                  <c:v>-0.39999999999999997</c:v>
                </c:pt>
                <c:pt idx="23">
                  <c:v>0.40000000000000008</c:v>
                </c:pt>
                <c:pt idx="24">
                  <c:v>3.3566666666666669</c:v>
                </c:pt>
                <c:pt idx="25">
                  <c:v>2.89</c:v>
                </c:pt>
                <c:pt idx="26">
                  <c:v>2.4733333333333332</c:v>
                </c:pt>
                <c:pt idx="27">
                  <c:v>0.32666666666666666</c:v>
                </c:pt>
                <c:pt idx="28">
                  <c:v>4.2033333333333331</c:v>
                </c:pt>
                <c:pt idx="29">
                  <c:v>18.806666666666665</c:v>
                </c:pt>
                <c:pt idx="30">
                  <c:v>9.0733333333333324</c:v>
                </c:pt>
                <c:pt idx="31">
                  <c:v>1.8366666666666667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DF-4419-AE5F-DF4A2018673A}"/>
            </c:ext>
          </c:extLst>
        </c:ser>
        <c:ser>
          <c:idx val="2"/>
          <c:order val="2"/>
          <c:tx>
            <c:strRef>
              <c:f>'4. Evolución agrupada'!$E$5</c:f>
              <c:strCache>
                <c:ptCount val="1"/>
                <c:pt idx="0">
                  <c:v>Reino Unido
=AVERAGEIF(grupo,"Reino Unido",año)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'4. Evolución agrupada'!$A$6:$A$38</c:f>
              <c:numCache>
                <c:formatCode>0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'4. Evolución agrupada'!$E$6:$E$38</c:f>
              <c:numCache>
                <c:formatCode>0.00</c:formatCode>
                <c:ptCount val="33"/>
                <c:pt idx="0">
                  <c:v>2.56</c:v>
                </c:pt>
                <c:pt idx="1">
                  <c:v>2.2200000000000002</c:v>
                </c:pt>
                <c:pt idx="2">
                  <c:v>2.7</c:v>
                </c:pt>
                <c:pt idx="3">
                  <c:v>2.85</c:v>
                </c:pt>
                <c:pt idx="4">
                  <c:v>2.2000000000000002</c:v>
                </c:pt>
                <c:pt idx="5">
                  <c:v>1.82</c:v>
                </c:pt>
                <c:pt idx="6">
                  <c:v>1.75</c:v>
                </c:pt>
                <c:pt idx="7">
                  <c:v>1.18</c:v>
                </c:pt>
                <c:pt idx="8">
                  <c:v>1.53</c:v>
                </c:pt>
                <c:pt idx="9">
                  <c:v>1.52</c:v>
                </c:pt>
                <c:pt idx="10">
                  <c:v>1.38</c:v>
                </c:pt>
                <c:pt idx="11">
                  <c:v>1.39</c:v>
                </c:pt>
                <c:pt idx="12">
                  <c:v>2.09</c:v>
                </c:pt>
                <c:pt idx="13">
                  <c:v>2.46</c:v>
                </c:pt>
                <c:pt idx="14">
                  <c:v>2.39</c:v>
                </c:pt>
                <c:pt idx="15">
                  <c:v>3.52</c:v>
                </c:pt>
                <c:pt idx="16">
                  <c:v>1.96</c:v>
                </c:pt>
                <c:pt idx="17">
                  <c:v>2.4900000000000002</c:v>
                </c:pt>
                <c:pt idx="18">
                  <c:v>3.86</c:v>
                </c:pt>
                <c:pt idx="19">
                  <c:v>2.57</c:v>
                </c:pt>
                <c:pt idx="20">
                  <c:v>2.29</c:v>
                </c:pt>
                <c:pt idx="21">
                  <c:v>1.45</c:v>
                </c:pt>
                <c:pt idx="22">
                  <c:v>0.37</c:v>
                </c:pt>
                <c:pt idx="23">
                  <c:v>1.01</c:v>
                </c:pt>
                <c:pt idx="24">
                  <c:v>2.56</c:v>
                </c:pt>
                <c:pt idx="25">
                  <c:v>2.29</c:v>
                </c:pt>
                <c:pt idx="26">
                  <c:v>1.74</c:v>
                </c:pt>
                <c:pt idx="27">
                  <c:v>0.99</c:v>
                </c:pt>
                <c:pt idx="28">
                  <c:v>2.52</c:v>
                </c:pt>
                <c:pt idx="29">
                  <c:v>7.92</c:v>
                </c:pt>
                <c:pt idx="30">
                  <c:v>6.79</c:v>
                </c:pt>
                <c:pt idx="31">
                  <c:v>3.27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3DF-4419-AE5F-DF4A2018673A}"/>
            </c:ext>
          </c:extLst>
        </c:ser>
        <c:ser>
          <c:idx val="3"/>
          <c:order val="3"/>
          <c:tx>
            <c:strRef>
              <c:f>'4. Evolución agrupada'!$F$5</c:f>
              <c:strCache>
                <c:ptCount val="1"/>
                <c:pt idx="0">
                  <c:v>EE.UU.
=AVERAGEIF(grupo,"EE.UU.",año)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'4. Evolución agrupada'!$A$6:$A$38</c:f>
              <c:numCache>
                <c:formatCode>0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'4. Evolución agrupada'!$F$6:$F$38</c:f>
              <c:numCache>
                <c:formatCode>0.00</c:formatCode>
                <c:ptCount val="33"/>
                <c:pt idx="0">
                  <c:v>2.95</c:v>
                </c:pt>
                <c:pt idx="1">
                  <c:v>2.61</c:v>
                </c:pt>
                <c:pt idx="2">
                  <c:v>2.81</c:v>
                </c:pt>
                <c:pt idx="3">
                  <c:v>2.93</c:v>
                </c:pt>
                <c:pt idx="4">
                  <c:v>2.34</c:v>
                </c:pt>
                <c:pt idx="5">
                  <c:v>1.55</c:v>
                </c:pt>
                <c:pt idx="6">
                  <c:v>2.19</c:v>
                </c:pt>
                <c:pt idx="7">
                  <c:v>3.38</c:v>
                </c:pt>
                <c:pt idx="8">
                  <c:v>2.83</c:v>
                </c:pt>
                <c:pt idx="9">
                  <c:v>1.59</c:v>
                </c:pt>
                <c:pt idx="10">
                  <c:v>2.27</c:v>
                </c:pt>
                <c:pt idx="11">
                  <c:v>2.68</c:v>
                </c:pt>
                <c:pt idx="12">
                  <c:v>3.39</c:v>
                </c:pt>
                <c:pt idx="13">
                  <c:v>3.23</c:v>
                </c:pt>
                <c:pt idx="14">
                  <c:v>2.85</c:v>
                </c:pt>
                <c:pt idx="15">
                  <c:v>3.84</c:v>
                </c:pt>
                <c:pt idx="16">
                  <c:v>-0.36</c:v>
                </c:pt>
                <c:pt idx="17">
                  <c:v>1.64</c:v>
                </c:pt>
                <c:pt idx="18">
                  <c:v>3.16</c:v>
                </c:pt>
                <c:pt idx="19">
                  <c:v>2.0699999999999998</c:v>
                </c:pt>
                <c:pt idx="20">
                  <c:v>1.46</c:v>
                </c:pt>
                <c:pt idx="21">
                  <c:v>1.62</c:v>
                </c:pt>
                <c:pt idx="22">
                  <c:v>0.12</c:v>
                </c:pt>
                <c:pt idx="23">
                  <c:v>1.26</c:v>
                </c:pt>
                <c:pt idx="24">
                  <c:v>2.13</c:v>
                </c:pt>
                <c:pt idx="25">
                  <c:v>2.44</c:v>
                </c:pt>
                <c:pt idx="26">
                  <c:v>1.81</c:v>
                </c:pt>
                <c:pt idx="27">
                  <c:v>1.23</c:v>
                </c:pt>
                <c:pt idx="28">
                  <c:v>4.7</c:v>
                </c:pt>
                <c:pt idx="29">
                  <c:v>8</c:v>
                </c:pt>
                <c:pt idx="30">
                  <c:v>4.12</c:v>
                </c:pt>
                <c:pt idx="31">
                  <c:v>2.95</c:v>
                </c:pt>
                <c:pt idx="3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3DF-4419-AE5F-DF4A20186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Año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Inflación media (%)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zoomScale="80" workbookViewId="0">
      <pane xSplit="3" ySplit="4" topLeftCell="D5" activePane="bottomRight" state="frozen"/>
      <selection pane="topRight"/>
      <selection pane="bottomLeft"/>
      <selection pane="bottomRight" activeCell="AK15" sqref="AK15"/>
    </sheetView>
  </sheetViews>
  <sheetFormatPr baseColWidth="10" defaultColWidth="8.7265625" defaultRowHeight="14.5" x14ac:dyDescent="0.35"/>
  <cols>
    <col min="1" max="1" width="6.54296875" bestFit="1" customWidth="1"/>
    <col min="2" max="2" width="11.1796875" bestFit="1" customWidth="1"/>
    <col min="3" max="3" width="10.1796875" bestFit="1" customWidth="1"/>
    <col min="4" max="4" width="6.81640625" bestFit="1" customWidth="1"/>
    <col min="5" max="5" width="5.90625" bestFit="1" customWidth="1"/>
    <col min="6" max="8" width="5" bestFit="1" customWidth="1"/>
    <col min="9" max="9" width="4.54296875" bestFit="1" customWidth="1"/>
    <col min="10" max="11" width="5" bestFit="1" customWidth="1"/>
    <col min="12" max="13" width="4.54296875" bestFit="1" customWidth="1"/>
    <col min="14" max="14" width="4.6328125" bestFit="1" customWidth="1"/>
    <col min="15" max="17" width="4.54296875" bestFit="1" customWidth="1"/>
    <col min="18" max="19" width="5" bestFit="1" customWidth="1"/>
    <col min="20" max="21" width="4.6328125" bestFit="1" customWidth="1"/>
    <col min="22" max="23" width="4.54296875" bestFit="1" customWidth="1"/>
    <col min="24" max="27" width="4.6328125" bestFit="1" customWidth="1"/>
    <col min="28" max="30" width="4.54296875" bestFit="1" customWidth="1"/>
    <col min="31" max="31" width="4.6328125" bestFit="1" customWidth="1"/>
    <col min="32" max="32" width="4.54296875" bestFit="1" customWidth="1"/>
    <col min="33" max="34" width="5" bestFit="1" customWidth="1"/>
    <col min="35" max="36" width="4.54296875" bestFit="1" customWidth="1"/>
  </cols>
  <sheetData>
    <row r="1" spans="1:36" ht="15.5" x14ac:dyDescent="0.35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</row>
    <row r="2" spans="1:36" x14ac:dyDescent="0.35">
      <c r="A2" s="71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4" spans="1:36" ht="20" customHeight="1" x14ac:dyDescent="0.35">
      <c r="A4" s="83" t="s">
        <v>2</v>
      </c>
      <c r="B4" s="83" t="s">
        <v>3</v>
      </c>
      <c r="C4" s="83" t="s">
        <v>4</v>
      </c>
      <c r="D4" s="83" t="s">
        <v>5</v>
      </c>
      <c r="E4" s="83" t="s">
        <v>6</v>
      </c>
      <c r="F4" s="83" t="s">
        <v>7</v>
      </c>
      <c r="G4" s="83" t="s">
        <v>8</v>
      </c>
      <c r="H4" s="83" t="s">
        <v>9</v>
      </c>
      <c r="I4" s="83" t="s">
        <v>10</v>
      </c>
      <c r="J4" s="83" t="s">
        <v>11</v>
      </c>
      <c r="K4" s="83" t="s">
        <v>12</v>
      </c>
      <c r="L4" s="83" t="s">
        <v>13</v>
      </c>
      <c r="M4" s="83" t="s">
        <v>14</v>
      </c>
      <c r="N4" s="83" t="s">
        <v>15</v>
      </c>
      <c r="O4" s="83" t="s">
        <v>16</v>
      </c>
      <c r="P4" s="83" t="s">
        <v>17</v>
      </c>
      <c r="Q4" s="83" t="s">
        <v>18</v>
      </c>
      <c r="R4" s="83" t="s">
        <v>19</v>
      </c>
      <c r="S4" s="83" t="s">
        <v>20</v>
      </c>
      <c r="T4" s="83" t="s">
        <v>21</v>
      </c>
      <c r="U4" s="83" t="s">
        <v>22</v>
      </c>
      <c r="V4" s="83" t="s">
        <v>23</v>
      </c>
      <c r="W4" s="83" t="s">
        <v>24</v>
      </c>
      <c r="X4" s="83" t="s">
        <v>25</v>
      </c>
      <c r="Y4" s="83" t="s">
        <v>26</v>
      </c>
      <c r="Z4" s="83" t="s">
        <v>27</v>
      </c>
      <c r="AA4" s="83" t="s">
        <v>28</v>
      </c>
      <c r="AB4" s="83" t="s">
        <v>29</v>
      </c>
      <c r="AC4" s="83" t="s">
        <v>30</v>
      </c>
      <c r="AD4" s="83" t="s">
        <v>31</v>
      </c>
      <c r="AE4" s="83" t="s">
        <v>32</v>
      </c>
      <c r="AF4" s="83" t="s">
        <v>33</v>
      </c>
      <c r="AG4" s="83" t="s">
        <v>34</v>
      </c>
      <c r="AH4" s="83" t="s">
        <v>35</v>
      </c>
      <c r="AI4" s="83" t="s">
        <v>36</v>
      </c>
      <c r="AJ4" s="83" t="s">
        <v>37</v>
      </c>
    </row>
    <row r="5" spans="1:36" x14ac:dyDescent="0.35">
      <c r="A5" s="84" t="s">
        <v>38</v>
      </c>
      <c r="B5" s="84" t="s">
        <v>39</v>
      </c>
      <c r="C5" s="5" t="s">
        <v>40</v>
      </c>
      <c r="D5" s="6">
        <v>4.47</v>
      </c>
      <c r="E5" s="6">
        <v>2.69</v>
      </c>
      <c r="F5" s="6">
        <v>1.71</v>
      </c>
      <c r="G5" s="6">
        <v>1.45</v>
      </c>
      <c r="H5" s="6">
        <v>1.94</v>
      </c>
      <c r="I5" s="6">
        <v>0.91</v>
      </c>
      <c r="J5" s="6">
        <v>0.59</v>
      </c>
      <c r="K5" s="6">
        <v>1.44</v>
      </c>
      <c r="L5" s="6">
        <v>1.98</v>
      </c>
      <c r="M5" s="6">
        <v>1.42</v>
      </c>
      <c r="N5" s="6">
        <v>1.03</v>
      </c>
      <c r="O5" s="6">
        <v>1.67</v>
      </c>
      <c r="P5" s="6">
        <v>1.55</v>
      </c>
      <c r="Q5" s="6">
        <v>1.58</v>
      </c>
      <c r="R5" s="6">
        <v>2.2999999999999998</v>
      </c>
      <c r="S5" s="6">
        <v>2.63</v>
      </c>
      <c r="T5" s="6">
        <v>0.31</v>
      </c>
      <c r="U5" s="6">
        <v>1.1000000000000001</v>
      </c>
      <c r="V5" s="6">
        <v>2.08</v>
      </c>
      <c r="W5" s="6">
        <v>2.0099999999999998</v>
      </c>
      <c r="X5" s="6">
        <v>1.5</v>
      </c>
      <c r="Y5" s="6">
        <v>0.91</v>
      </c>
      <c r="Z5" s="6">
        <v>0.51</v>
      </c>
      <c r="AA5" s="6">
        <v>0.49</v>
      </c>
      <c r="AB5" s="6">
        <v>1.51</v>
      </c>
      <c r="AC5" s="6">
        <v>1.73</v>
      </c>
      <c r="AD5" s="6">
        <v>1.45</v>
      </c>
      <c r="AE5" s="6">
        <v>0.14000000000000001</v>
      </c>
      <c r="AF5" s="6">
        <v>3.07</v>
      </c>
      <c r="AG5" s="6">
        <v>6.87</v>
      </c>
      <c r="AH5" s="6">
        <v>5.95</v>
      </c>
      <c r="AI5" s="6">
        <v>2.2599999999999998</v>
      </c>
      <c r="AJ5" s="6">
        <v>0</v>
      </c>
    </row>
    <row r="6" spans="1:36" x14ac:dyDescent="0.35">
      <c r="A6" s="84" t="s">
        <v>41</v>
      </c>
      <c r="B6" s="84" t="s">
        <v>42</v>
      </c>
      <c r="C6" s="5" t="s">
        <v>40</v>
      </c>
      <c r="D6" s="9">
        <v>3.63</v>
      </c>
      <c r="E6" s="9">
        <v>2.95</v>
      </c>
      <c r="F6" s="9">
        <v>2.2400000000000002</v>
      </c>
      <c r="G6" s="9">
        <v>1.86</v>
      </c>
      <c r="H6" s="9">
        <v>1.31</v>
      </c>
      <c r="I6" s="9">
        <v>0.92</v>
      </c>
      <c r="J6" s="9">
        <v>0.56999999999999995</v>
      </c>
      <c r="K6" s="9">
        <v>2.34</v>
      </c>
      <c r="L6" s="9">
        <v>2.65</v>
      </c>
      <c r="M6" s="9">
        <v>1.81</v>
      </c>
      <c r="N6" s="9">
        <v>1.36</v>
      </c>
      <c r="O6" s="9">
        <v>2.06</v>
      </c>
      <c r="P6" s="9">
        <v>2.2999999999999998</v>
      </c>
      <c r="Q6" s="9">
        <v>1.44</v>
      </c>
      <c r="R6" s="9">
        <v>2.17</v>
      </c>
      <c r="S6" s="9">
        <v>3.22</v>
      </c>
      <c r="T6" s="9">
        <v>0.51</v>
      </c>
      <c r="U6" s="9">
        <v>1.81</v>
      </c>
      <c r="V6" s="9">
        <v>3.29</v>
      </c>
      <c r="W6" s="9">
        <v>2.4900000000000002</v>
      </c>
      <c r="X6" s="9">
        <v>2</v>
      </c>
      <c r="Y6" s="9">
        <v>1.61</v>
      </c>
      <c r="Z6" s="9">
        <v>0.9</v>
      </c>
      <c r="AA6" s="9">
        <v>0.89</v>
      </c>
      <c r="AB6" s="9">
        <v>2.08</v>
      </c>
      <c r="AC6" s="9">
        <v>2</v>
      </c>
      <c r="AD6" s="9">
        <v>1.53</v>
      </c>
      <c r="AE6" s="9">
        <v>1.38</v>
      </c>
      <c r="AF6" s="9">
        <v>2.77</v>
      </c>
      <c r="AG6" s="9">
        <v>8.5500000000000007</v>
      </c>
      <c r="AH6" s="9">
        <v>7.81</v>
      </c>
      <c r="AI6" s="9">
        <v>2.94</v>
      </c>
      <c r="AJ6" s="9">
        <v>0</v>
      </c>
    </row>
    <row r="7" spans="1:36" x14ac:dyDescent="0.35">
      <c r="A7" s="84" t="s">
        <v>43</v>
      </c>
      <c r="B7" s="84" t="s">
        <v>44</v>
      </c>
      <c r="C7" s="5" t="s">
        <v>40</v>
      </c>
      <c r="D7" s="6">
        <v>2.75</v>
      </c>
      <c r="E7" s="6">
        <v>2.38</v>
      </c>
      <c r="F7" s="6">
        <v>1.47</v>
      </c>
      <c r="G7" s="6">
        <v>2.08</v>
      </c>
      <c r="H7" s="6">
        <v>1.63</v>
      </c>
      <c r="I7" s="6">
        <v>0.95</v>
      </c>
      <c r="J7" s="6">
        <v>1.1200000000000001</v>
      </c>
      <c r="K7" s="6">
        <v>2.54</v>
      </c>
      <c r="L7" s="6">
        <v>2.4700000000000002</v>
      </c>
      <c r="M7" s="6">
        <v>1.65</v>
      </c>
      <c r="N7" s="6">
        <v>1.59</v>
      </c>
      <c r="O7" s="6">
        <v>2.1</v>
      </c>
      <c r="P7" s="6">
        <v>2.78</v>
      </c>
      <c r="Q7" s="6">
        <v>1.79</v>
      </c>
      <c r="R7" s="6">
        <v>1.82</v>
      </c>
      <c r="S7" s="6">
        <v>4.49</v>
      </c>
      <c r="T7" s="6">
        <v>-0.05</v>
      </c>
      <c r="U7" s="6">
        <v>2.19</v>
      </c>
      <c r="V7" s="6">
        <v>3.53</v>
      </c>
      <c r="W7" s="6">
        <v>2.84</v>
      </c>
      <c r="X7" s="6">
        <v>1.1100000000000001</v>
      </c>
      <c r="Y7" s="6">
        <v>0.34</v>
      </c>
      <c r="Z7" s="6">
        <v>0.56000000000000005</v>
      </c>
      <c r="AA7" s="6">
        <v>1.97</v>
      </c>
      <c r="AB7" s="6">
        <v>2.13</v>
      </c>
      <c r="AC7" s="6">
        <v>2.0499999999999998</v>
      </c>
      <c r="AD7" s="6">
        <v>1.44</v>
      </c>
      <c r="AE7" s="6">
        <v>0.74</v>
      </c>
      <c r="AF7" s="6">
        <v>2.44</v>
      </c>
      <c r="AG7" s="6">
        <v>9.6</v>
      </c>
      <c r="AH7" s="6">
        <v>4.05</v>
      </c>
      <c r="AI7" s="6">
        <v>3.14</v>
      </c>
      <c r="AJ7" s="6">
        <v>0</v>
      </c>
    </row>
    <row r="8" spans="1:36" x14ac:dyDescent="0.35">
      <c r="A8" s="84" t="s">
        <v>45</v>
      </c>
      <c r="B8" s="84" t="s">
        <v>46</v>
      </c>
      <c r="C8" s="5" t="s">
        <v>40</v>
      </c>
      <c r="D8" s="9">
        <v>4.8499999999999996</v>
      </c>
      <c r="E8" s="9">
        <v>4.7</v>
      </c>
      <c r="F8" s="9">
        <v>2.62</v>
      </c>
      <c r="G8" s="9">
        <v>2.98</v>
      </c>
      <c r="H8" s="9">
        <v>3.61</v>
      </c>
      <c r="I8" s="9">
        <v>2.23</v>
      </c>
      <c r="J8" s="9">
        <v>1.63</v>
      </c>
      <c r="K8" s="9">
        <v>4.1399999999999997</v>
      </c>
      <c r="L8" s="9">
        <v>1.97</v>
      </c>
      <c r="M8" s="9">
        <v>2.8</v>
      </c>
      <c r="N8" s="9">
        <v>4.1399999999999997</v>
      </c>
      <c r="O8" s="9">
        <v>2.29</v>
      </c>
      <c r="P8" s="9">
        <v>2.56</v>
      </c>
      <c r="Q8" s="9">
        <v>2.2999999999999998</v>
      </c>
      <c r="R8" s="9">
        <v>2.37</v>
      </c>
      <c r="S8" s="9">
        <v>4.67</v>
      </c>
      <c r="T8" s="9">
        <v>0.33</v>
      </c>
      <c r="U8" s="9">
        <v>2.4300000000000002</v>
      </c>
      <c r="V8" s="9">
        <v>3.29</v>
      </c>
      <c r="W8" s="9">
        <v>2.39</v>
      </c>
      <c r="X8" s="9">
        <v>-0.4</v>
      </c>
      <c r="Y8" s="9">
        <v>-1.35</v>
      </c>
      <c r="Z8" s="9">
        <v>-2.1</v>
      </c>
      <c r="AA8" s="9">
        <v>-1.43</v>
      </c>
      <c r="AB8" s="9">
        <v>0.53</v>
      </c>
      <c r="AC8" s="9">
        <v>1.44</v>
      </c>
      <c r="AD8" s="9">
        <v>0.25</v>
      </c>
      <c r="AE8" s="9">
        <v>-0.64</v>
      </c>
      <c r="AF8" s="9">
        <v>2.4500000000000002</v>
      </c>
      <c r="AG8" s="9">
        <v>8.4</v>
      </c>
      <c r="AH8" s="9">
        <v>3.54</v>
      </c>
      <c r="AI8" s="9">
        <v>1.8</v>
      </c>
      <c r="AJ8" s="9">
        <v>0</v>
      </c>
    </row>
    <row r="9" spans="1:36" x14ac:dyDescent="0.35">
      <c r="A9" s="84" t="s">
        <v>47</v>
      </c>
      <c r="B9" s="84" t="s">
        <v>48</v>
      </c>
      <c r="C9" s="5" t="s">
        <v>40</v>
      </c>
      <c r="D9" s="6">
        <v>1500</v>
      </c>
      <c r="E9" s="6">
        <v>107.33</v>
      </c>
      <c r="F9" s="6">
        <v>3.95</v>
      </c>
      <c r="G9" s="6">
        <v>4.3</v>
      </c>
      <c r="H9" s="6">
        <v>4.17</v>
      </c>
      <c r="I9" s="6">
        <v>6.4</v>
      </c>
      <c r="J9" s="6">
        <v>4.0199999999999996</v>
      </c>
      <c r="K9" s="6">
        <v>4.6100000000000003</v>
      </c>
      <c r="L9" s="6">
        <v>3.78</v>
      </c>
      <c r="M9" s="6">
        <v>1.67</v>
      </c>
      <c r="N9" s="6">
        <v>1.77</v>
      </c>
      <c r="O9" s="6">
        <v>2.06</v>
      </c>
      <c r="P9" s="6">
        <v>3.32</v>
      </c>
      <c r="Q9" s="6">
        <v>3.19</v>
      </c>
      <c r="R9" s="6">
        <v>2.9</v>
      </c>
      <c r="S9" s="6">
        <v>6.08</v>
      </c>
      <c r="T9" s="6">
        <v>2.38</v>
      </c>
      <c r="U9" s="6">
        <v>1.03</v>
      </c>
      <c r="V9" s="6">
        <v>2.27</v>
      </c>
      <c r="W9" s="6">
        <v>3.41</v>
      </c>
      <c r="X9" s="6">
        <v>2.2200000000000002</v>
      </c>
      <c r="Y9" s="6">
        <v>-0.22</v>
      </c>
      <c r="Z9" s="6">
        <v>-0.46</v>
      </c>
      <c r="AA9" s="6">
        <v>-1.1299999999999999</v>
      </c>
      <c r="AB9" s="6">
        <v>1.1299999999999999</v>
      </c>
      <c r="AC9" s="6">
        <v>1.5</v>
      </c>
      <c r="AD9" s="6">
        <v>0.77</v>
      </c>
      <c r="AE9" s="6">
        <v>0.15</v>
      </c>
      <c r="AF9" s="6">
        <v>2.5499999999999998</v>
      </c>
      <c r="AG9" s="6">
        <v>10.78</v>
      </c>
      <c r="AH9" s="6">
        <v>7.94</v>
      </c>
      <c r="AI9" s="6">
        <v>2.97</v>
      </c>
      <c r="AJ9" s="6">
        <v>0</v>
      </c>
    </row>
    <row r="10" spans="1:36" x14ac:dyDescent="0.35">
      <c r="A10" s="84" t="s">
        <v>49</v>
      </c>
      <c r="B10" s="84" t="s">
        <v>50</v>
      </c>
      <c r="C10" s="5" t="s">
        <v>40</v>
      </c>
      <c r="D10" s="9">
        <v>23.29</v>
      </c>
      <c r="E10" s="9">
        <v>13.42</v>
      </c>
      <c r="F10" s="9">
        <v>9.84</v>
      </c>
      <c r="G10" s="9">
        <v>5.78</v>
      </c>
      <c r="H10" s="9">
        <v>6.14</v>
      </c>
      <c r="I10" s="9">
        <v>6.67</v>
      </c>
      <c r="J10" s="9">
        <v>10.57</v>
      </c>
      <c r="K10" s="9">
        <v>12.04</v>
      </c>
      <c r="L10" s="9">
        <v>7.33</v>
      </c>
      <c r="M10" s="9">
        <v>3.13</v>
      </c>
      <c r="N10" s="9">
        <v>8.5500000000000007</v>
      </c>
      <c r="O10" s="9">
        <v>7.55</v>
      </c>
      <c r="P10" s="9">
        <v>2.71</v>
      </c>
      <c r="Q10" s="9">
        <v>4.4800000000000004</v>
      </c>
      <c r="R10" s="9">
        <v>2.76</v>
      </c>
      <c r="S10" s="9">
        <v>4.5999999999999996</v>
      </c>
      <c r="T10" s="9">
        <v>1.62</v>
      </c>
      <c r="U10" s="9">
        <v>0.96</v>
      </c>
      <c r="V10" s="9">
        <v>3.92</v>
      </c>
      <c r="W10" s="9">
        <v>3.61</v>
      </c>
      <c r="X10" s="9">
        <v>1.4</v>
      </c>
      <c r="Y10" s="9">
        <v>-0.08</v>
      </c>
      <c r="Z10" s="9">
        <v>-0.33</v>
      </c>
      <c r="AA10" s="9">
        <v>-0.52</v>
      </c>
      <c r="AB10" s="9">
        <v>1.31</v>
      </c>
      <c r="AC10" s="9">
        <v>2.5099999999999998</v>
      </c>
      <c r="AD10" s="9">
        <v>2.66</v>
      </c>
      <c r="AE10" s="9">
        <v>1.94</v>
      </c>
      <c r="AF10" s="9">
        <v>3.15</v>
      </c>
      <c r="AG10" s="9">
        <v>12.77</v>
      </c>
      <c r="AH10" s="9">
        <v>10.53</v>
      </c>
      <c r="AI10" s="9">
        <v>2.76</v>
      </c>
      <c r="AJ10" s="9">
        <v>0</v>
      </c>
    </row>
    <row r="11" spans="1:36" x14ac:dyDescent="0.35">
      <c r="A11" s="84" t="s">
        <v>51</v>
      </c>
      <c r="B11" s="84" t="s">
        <v>52</v>
      </c>
      <c r="C11" s="5" t="s">
        <v>40</v>
      </c>
      <c r="D11" s="6">
        <v>31.76</v>
      </c>
      <c r="E11" s="6">
        <v>20.99</v>
      </c>
      <c r="F11" s="6">
        <v>13.46</v>
      </c>
      <c r="G11" s="6">
        <v>9.86</v>
      </c>
      <c r="H11" s="6">
        <v>8.36</v>
      </c>
      <c r="I11" s="6">
        <v>7.89</v>
      </c>
      <c r="J11" s="6">
        <v>6.16</v>
      </c>
      <c r="K11" s="6">
        <v>8.91</v>
      </c>
      <c r="L11" s="6">
        <v>8.3800000000000008</v>
      </c>
      <c r="M11" s="6">
        <v>7.48</v>
      </c>
      <c r="N11" s="6">
        <v>5.54</v>
      </c>
      <c r="O11" s="6">
        <v>3.59</v>
      </c>
      <c r="P11" s="6">
        <v>2.4500000000000002</v>
      </c>
      <c r="Q11" s="6">
        <v>2.46</v>
      </c>
      <c r="R11" s="6">
        <v>3.66</v>
      </c>
      <c r="S11" s="6">
        <v>5.65</v>
      </c>
      <c r="T11" s="6">
        <v>0.84</v>
      </c>
      <c r="U11" s="6">
        <v>1.8</v>
      </c>
      <c r="V11" s="6">
        <v>1.8</v>
      </c>
      <c r="W11" s="6">
        <v>2.6</v>
      </c>
      <c r="X11" s="6">
        <v>1.77</v>
      </c>
      <c r="Y11" s="6">
        <v>0.2</v>
      </c>
      <c r="Z11" s="6">
        <v>-0.53</v>
      </c>
      <c r="AA11" s="6">
        <v>-0.05</v>
      </c>
      <c r="AB11" s="6">
        <v>1.43</v>
      </c>
      <c r="AC11" s="6">
        <v>1.74</v>
      </c>
      <c r="AD11" s="6">
        <v>1.63</v>
      </c>
      <c r="AE11" s="6">
        <v>-0.05</v>
      </c>
      <c r="AF11" s="6">
        <v>1.92</v>
      </c>
      <c r="AG11" s="6">
        <v>8.83</v>
      </c>
      <c r="AH11" s="6">
        <v>7.45</v>
      </c>
      <c r="AI11" s="6">
        <v>1.97</v>
      </c>
      <c r="AJ11" s="6">
        <v>0</v>
      </c>
    </row>
    <row r="12" spans="1:36" x14ac:dyDescent="0.35">
      <c r="A12" s="84" t="s">
        <v>53</v>
      </c>
      <c r="B12" s="84" t="s">
        <v>54</v>
      </c>
      <c r="C12" s="5" t="s">
        <v>40</v>
      </c>
      <c r="D12" s="9">
        <v>4.57</v>
      </c>
      <c r="E12" s="9">
        <v>4.72</v>
      </c>
      <c r="F12" s="9">
        <v>4.67</v>
      </c>
      <c r="G12" s="9">
        <v>3.56</v>
      </c>
      <c r="H12" s="9">
        <v>1.97</v>
      </c>
      <c r="I12" s="9">
        <v>1.83</v>
      </c>
      <c r="J12" s="9">
        <v>2.31</v>
      </c>
      <c r="K12" s="9">
        <v>3.43</v>
      </c>
      <c r="L12" s="9">
        <v>3.59</v>
      </c>
      <c r="M12" s="9">
        <v>3.07</v>
      </c>
      <c r="N12" s="9">
        <v>3.04</v>
      </c>
      <c r="O12" s="9">
        <v>3.04</v>
      </c>
      <c r="P12" s="9">
        <v>3.37</v>
      </c>
      <c r="Q12" s="9">
        <v>3.52</v>
      </c>
      <c r="R12" s="9">
        <v>2.79</v>
      </c>
      <c r="S12" s="9">
        <v>4.08</v>
      </c>
      <c r="T12" s="9">
        <v>-0.28999999999999998</v>
      </c>
      <c r="U12" s="9">
        <v>1.8</v>
      </c>
      <c r="V12" s="9">
        <v>3.2</v>
      </c>
      <c r="W12" s="9">
        <v>2.4500000000000002</v>
      </c>
      <c r="X12" s="9">
        <v>1.41</v>
      </c>
      <c r="Y12" s="9">
        <v>-0.15</v>
      </c>
      <c r="Z12" s="9">
        <v>-0.5</v>
      </c>
      <c r="AA12" s="9">
        <v>-0.2</v>
      </c>
      <c r="AB12" s="9">
        <v>1.96</v>
      </c>
      <c r="AC12" s="9">
        <v>1.67</v>
      </c>
      <c r="AD12" s="9">
        <v>0.7</v>
      </c>
      <c r="AE12" s="9">
        <v>-0.32</v>
      </c>
      <c r="AF12" s="9">
        <v>3.09</v>
      </c>
      <c r="AG12" s="9">
        <v>8.39</v>
      </c>
      <c r="AH12" s="9">
        <v>3.53</v>
      </c>
      <c r="AI12" s="9">
        <v>2.77</v>
      </c>
      <c r="AJ12" s="9">
        <v>0</v>
      </c>
    </row>
    <row r="13" spans="1:36" x14ac:dyDescent="0.35">
      <c r="A13" s="84" t="s">
        <v>55</v>
      </c>
      <c r="B13" s="84" t="s">
        <v>56</v>
      </c>
      <c r="C13" s="10" t="s">
        <v>57</v>
      </c>
      <c r="D13" s="6">
        <v>89.81</v>
      </c>
      <c r="E13" s="6">
        <v>47.65</v>
      </c>
      <c r="F13" s="6">
        <v>28.78</v>
      </c>
      <c r="G13" s="6">
        <v>23.05</v>
      </c>
      <c r="H13" s="6">
        <v>10.58</v>
      </c>
      <c r="I13" s="6">
        <v>8.2100000000000009</v>
      </c>
      <c r="J13" s="6">
        <v>3.3</v>
      </c>
      <c r="K13" s="6">
        <v>4.0199999999999996</v>
      </c>
      <c r="L13" s="6">
        <v>5.75</v>
      </c>
      <c r="M13" s="6">
        <v>3.57</v>
      </c>
      <c r="N13" s="6">
        <v>1.33</v>
      </c>
      <c r="O13" s="6">
        <v>3.05</v>
      </c>
      <c r="P13" s="6">
        <v>4.08</v>
      </c>
      <c r="Q13" s="6">
        <v>4.4400000000000004</v>
      </c>
      <c r="R13" s="6">
        <v>6.6</v>
      </c>
      <c r="S13" s="6">
        <v>10.36</v>
      </c>
      <c r="T13" s="6">
        <v>-0.08</v>
      </c>
      <c r="U13" s="6">
        <v>2.97</v>
      </c>
      <c r="V13" s="6">
        <v>4.9800000000000004</v>
      </c>
      <c r="W13" s="6">
        <v>3.93</v>
      </c>
      <c r="X13" s="6">
        <v>2.78</v>
      </c>
      <c r="Y13" s="6">
        <v>-0.11</v>
      </c>
      <c r="Z13" s="6">
        <v>-0.49</v>
      </c>
      <c r="AA13" s="6">
        <v>0.15</v>
      </c>
      <c r="AB13" s="6">
        <v>3.42</v>
      </c>
      <c r="AC13" s="6">
        <v>3.44</v>
      </c>
      <c r="AD13" s="6">
        <v>2.2799999999999998</v>
      </c>
      <c r="AE13" s="6">
        <v>-0.44</v>
      </c>
      <c r="AF13" s="6">
        <v>4.6500000000000004</v>
      </c>
      <c r="AG13" s="6">
        <v>19.399999999999999</v>
      </c>
      <c r="AH13" s="6">
        <v>9.16</v>
      </c>
      <c r="AI13" s="6">
        <v>3.52</v>
      </c>
      <c r="AJ13" s="6">
        <v>0</v>
      </c>
    </row>
    <row r="14" spans="1:36" x14ac:dyDescent="0.35">
      <c r="A14" s="84" t="s">
        <v>58</v>
      </c>
      <c r="B14" s="84" t="s">
        <v>59</v>
      </c>
      <c r="C14" s="5" t="s">
        <v>40</v>
      </c>
      <c r="D14" s="9">
        <v>2.19</v>
      </c>
      <c r="E14" s="9">
        <v>1.0900000000000001</v>
      </c>
      <c r="F14" s="9">
        <v>0.79</v>
      </c>
      <c r="G14" s="9">
        <v>0.63</v>
      </c>
      <c r="H14" s="9">
        <v>1.19</v>
      </c>
      <c r="I14" s="9">
        <v>1.4</v>
      </c>
      <c r="J14" s="9">
        <v>1.1599999999999999</v>
      </c>
      <c r="K14" s="9">
        <v>3.04</v>
      </c>
      <c r="L14" s="9">
        <v>2.58</v>
      </c>
      <c r="M14" s="9">
        <v>1.57</v>
      </c>
      <c r="N14" s="9">
        <v>0.88</v>
      </c>
      <c r="O14" s="9">
        <v>0.19</v>
      </c>
      <c r="P14" s="9">
        <v>0.62</v>
      </c>
      <c r="Q14" s="9">
        <v>1.57</v>
      </c>
      <c r="R14" s="9">
        <v>2.5099999999999998</v>
      </c>
      <c r="S14" s="9">
        <v>4.07</v>
      </c>
      <c r="T14" s="9">
        <v>0</v>
      </c>
      <c r="U14" s="9">
        <v>1.18</v>
      </c>
      <c r="V14" s="9">
        <v>3.42</v>
      </c>
      <c r="W14" s="9">
        <v>2.81</v>
      </c>
      <c r="X14" s="9">
        <v>1.48</v>
      </c>
      <c r="Y14" s="9">
        <v>1.04</v>
      </c>
      <c r="Z14" s="9">
        <v>-0.21</v>
      </c>
      <c r="AA14" s="9">
        <v>0.36</v>
      </c>
      <c r="AB14" s="9">
        <v>0.75</v>
      </c>
      <c r="AC14" s="9">
        <v>1.08</v>
      </c>
      <c r="AD14" s="9">
        <v>1.02</v>
      </c>
      <c r="AE14" s="9">
        <v>0.28999999999999998</v>
      </c>
      <c r="AF14" s="9">
        <v>2.19</v>
      </c>
      <c r="AG14" s="9">
        <v>7.12</v>
      </c>
      <c r="AH14" s="9">
        <v>6.25</v>
      </c>
      <c r="AI14" s="9">
        <v>1.57</v>
      </c>
      <c r="AJ14" s="9">
        <v>0</v>
      </c>
    </row>
    <row r="15" spans="1:36" x14ac:dyDescent="0.35">
      <c r="A15" s="84" t="s">
        <v>60</v>
      </c>
      <c r="B15" s="84" t="s">
        <v>61</v>
      </c>
      <c r="C15" s="5" t="s">
        <v>40</v>
      </c>
      <c r="D15" s="6">
        <v>2.1</v>
      </c>
      <c r="E15" s="6">
        <v>1.66</v>
      </c>
      <c r="F15" s="6">
        <v>1.8</v>
      </c>
      <c r="G15" s="6">
        <v>1.98</v>
      </c>
      <c r="H15" s="6">
        <v>1.2</v>
      </c>
      <c r="I15" s="6">
        <v>0.65</v>
      </c>
      <c r="J15" s="6">
        <v>0.54</v>
      </c>
      <c r="K15" s="6">
        <v>1.68</v>
      </c>
      <c r="L15" s="6">
        <v>1.63</v>
      </c>
      <c r="M15" s="6">
        <v>1.92</v>
      </c>
      <c r="N15" s="6">
        <v>2.1</v>
      </c>
      <c r="O15" s="6">
        <v>2.14</v>
      </c>
      <c r="P15" s="6">
        <v>1.75</v>
      </c>
      <c r="Q15" s="6">
        <v>1.68</v>
      </c>
      <c r="R15" s="6">
        <v>1.49</v>
      </c>
      <c r="S15" s="6">
        <v>2.81</v>
      </c>
      <c r="T15" s="6">
        <v>0.09</v>
      </c>
      <c r="U15" s="6">
        <v>1.53</v>
      </c>
      <c r="V15" s="6">
        <v>2.11</v>
      </c>
      <c r="W15" s="6">
        <v>1.95</v>
      </c>
      <c r="X15" s="6">
        <v>0.86</v>
      </c>
      <c r="Y15" s="6">
        <v>0.51</v>
      </c>
      <c r="Z15" s="6">
        <v>0.04</v>
      </c>
      <c r="AA15" s="6">
        <v>0.18</v>
      </c>
      <c r="AB15" s="6">
        <v>1.03</v>
      </c>
      <c r="AC15" s="6">
        <v>1.85</v>
      </c>
      <c r="AD15" s="6">
        <v>1.1100000000000001</v>
      </c>
      <c r="AE15" s="6">
        <v>0.48</v>
      </c>
      <c r="AF15" s="6">
        <v>1.64</v>
      </c>
      <c r="AG15" s="6">
        <v>5.22</v>
      </c>
      <c r="AH15" s="6">
        <v>4.88</v>
      </c>
      <c r="AI15" s="6">
        <v>2</v>
      </c>
      <c r="AJ15" s="6">
        <v>0</v>
      </c>
    </row>
    <row r="16" spans="1:36" x14ac:dyDescent="0.35">
      <c r="A16" s="84" t="s">
        <v>62</v>
      </c>
      <c r="B16" s="84" t="s">
        <v>63</v>
      </c>
      <c r="C16" s="5" t="s">
        <v>40</v>
      </c>
      <c r="D16" s="9">
        <v>14.41</v>
      </c>
      <c r="E16" s="9">
        <v>10.87</v>
      </c>
      <c r="F16" s="9">
        <v>8.93</v>
      </c>
      <c r="G16" s="9">
        <v>8.19</v>
      </c>
      <c r="H16" s="9">
        <v>5.54</v>
      </c>
      <c r="I16" s="9">
        <v>4.7699999999999996</v>
      </c>
      <c r="J16" s="9">
        <v>2.64</v>
      </c>
      <c r="K16" s="9">
        <v>3.15</v>
      </c>
      <c r="L16" s="9">
        <v>3.37</v>
      </c>
      <c r="M16" s="9">
        <v>3.63</v>
      </c>
      <c r="N16" s="9">
        <v>3.53</v>
      </c>
      <c r="O16" s="9">
        <v>2.9</v>
      </c>
      <c r="P16" s="9">
        <v>3.55</v>
      </c>
      <c r="Q16" s="9">
        <v>3.2</v>
      </c>
      <c r="R16" s="9">
        <v>2.9</v>
      </c>
      <c r="S16" s="9">
        <v>4.1500000000000004</v>
      </c>
      <c r="T16" s="9">
        <v>1.21</v>
      </c>
      <c r="U16" s="9">
        <v>4.71</v>
      </c>
      <c r="V16" s="9">
        <v>3.33</v>
      </c>
      <c r="W16" s="9">
        <v>1.5</v>
      </c>
      <c r="X16" s="9">
        <v>-0.92</v>
      </c>
      <c r="Y16" s="9">
        <v>-1.31</v>
      </c>
      <c r="Z16" s="9">
        <v>-1.74</v>
      </c>
      <c r="AA16" s="9">
        <v>-0.83</v>
      </c>
      <c r="AB16" s="9">
        <v>1.1200000000000001</v>
      </c>
      <c r="AC16" s="9">
        <v>0.63</v>
      </c>
      <c r="AD16" s="9">
        <v>0.25</v>
      </c>
      <c r="AE16" s="9">
        <v>-1.25</v>
      </c>
      <c r="AF16" s="9">
        <v>1.22</v>
      </c>
      <c r="AG16" s="9">
        <v>9.65</v>
      </c>
      <c r="AH16" s="9">
        <v>3.46</v>
      </c>
      <c r="AI16" s="9">
        <v>2.74</v>
      </c>
      <c r="AJ16" s="9">
        <v>0</v>
      </c>
    </row>
    <row r="17" spans="1:36" x14ac:dyDescent="0.35">
      <c r="A17" s="84" t="s">
        <v>64</v>
      </c>
      <c r="B17" s="84" t="s">
        <v>65</v>
      </c>
      <c r="C17" s="5" t="s">
        <v>40</v>
      </c>
      <c r="D17" s="6">
        <v>1.47</v>
      </c>
      <c r="E17" s="6">
        <v>2.31</v>
      </c>
      <c r="F17" s="6">
        <v>2.52</v>
      </c>
      <c r="G17" s="6">
        <v>1.76</v>
      </c>
      <c r="H17" s="6">
        <v>1.54</v>
      </c>
      <c r="I17" s="6">
        <v>2.41</v>
      </c>
      <c r="J17" s="6">
        <v>1.63</v>
      </c>
      <c r="K17" s="6">
        <v>5.58</v>
      </c>
      <c r="L17" s="6">
        <v>4.8499999999999996</v>
      </c>
      <c r="M17" s="6">
        <v>4.63</v>
      </c>
      <c r="N17" s="6">
        <v>3.49</v>
      </c>
      <c r="O17" s="6">
        <v>2.1800000000000002</v>
      </c>
      <c r="P17" s="6">
        <v>2.46</v>
      </c>
      <c r="Q17" s="6">
        <v>3.94</v>
      </c>
      <c r="R17" s="6">
        <v>4.8899999999999997</v>
      </c>
      <c r="S17" s="6">
        <v>4.04</v>
      </c>
      <c r="T17" s="6">
        <v>-4.45</v>
      </c>
      <c r="U17" s="6">
        <v>-0.92</v>
      </c>
      <c r="V17" s="6">
        <v>2.5499999999999998</v>
      </c>
      <c r="W17" s="6">
        <v>1.69</v>
      </c>
      <c r="X17" s="6">
        <v>0.52</v>
      </c>
      <c r="Y17" s="6">
        <v>0.19</v>
      </c>
      <c r="Z17" s="6">
        <v>-0.33</v>
      </c>
      <c r="AA17" s="6">
        <v>0.02</v>
      </c>
      <c r="AB17" s="6">
        <v>0.36</v>
      </c>
      <c r="AC17" s="6">
        <v>0.47</v>
      </c>
      <c r="AD17" s="6">
        <v>0.94</v>
      </c>
      <c r="AE17" s="6">
        <v>-0.33</v>
      </c>
      <c r="AF17" s="6">
        <v>2.34</v>
      </c>
      <c r="AG17" s="6">
        <v>7.83</v>
      </c>
      <c r="AH17" s="6">
        <v>6.3</v>
      </c>
      <c r="AI17" s="6">
        <v>2.11</v>
      </c>
      <c r="AJ17" s="6">
        <v>0</v>
      </c>
    </row>
    <row r="18" spans="1:36" x14ac:dyDescent="0.35">
      <c r="A18" s="84" t="s">
        <v>66</v>
      </c>
      <c r="B18" s="84" t="s">
        <v>67</v>
      </c>
      <c r="C18" s="5" t="s">
        <v>40</v>
      </c>
      <c r="D18" s="9">
        <v>4.63</v>
      </c>
      <c r="E18" s="9">
        <v>4.05</v>
      </c>
      <c r="F18" s="9">
        <v>5.24</v>
      </c>
      <c r="G18" s="9">
        <v>4.01</v>
      </c>
      <c r="H18" s="9">
        <v>2.04</v>
      </c>
      <c r="I18" s="9">
        <v>1.96</v>
      </c>
      <c r="J18" s="9">
        <v>1.66</v>
      </c>
      <c r="K18" s="9">
        <v>2.54</v>
      </c>
      <c r="L18" s="9">
        <v>2.79</v>
      </c>
      <c r="M18" s="9">
        <v>2.4700000000000002</v>
      </c>
      <c r="N18" s="9">
        <v>2.67</v>
      </c>
      <c r="O18" s="9">
        <v>2.21</v>
      </c>
      <c r="P18" s="9">
        <v>1.99</v>
      </c>
      <c r="Q18" s="9">
        <v>2.09</v>
      </c>
      <c r="R18" s="9">
        <v>1.83</v>
      </c>
      <c r="S18" s="9">
        <v>3.35</v>
      </c>
      <c r="T18" s="9">
        <v>0.77</v>
      </c>
      <c r="U18" s="9">
        <v>1.53</v>
      </c>
      <c r="V18" s="9">
        <v>2.78</v>
      </c>
      <c r="W18" s="9">
        <v>3.04</v>
      </c>
      <c r="X18" s="9">
        <v>1.22</v>
      </c>
      <c r="Y18" s="9">
        <v>0.24</v>
      </c>
      <c r="Z18" s="9">
        <v>0.04</v>
      </c>
      <c r="AA18" s="9">
        <v>-0.09</v>
      </c>
      <c r="AB18" s="9">
        <v>1.23</v>
      </c>
      <c r="AC18" s="9">
        <v>1.1399999999999999</v>
      </c>
      <c r="AD18" s="9">
        <v>0.61</v>
      </c>
      <c r="AE18" s="9">
        <v>-0.14000000000000001</v>
      </c>
      <c r="AF18" s="9">
        <v>1.87</v>
      </c>
      <c r="AG18" s="9">
        <v>8.1999999999999993</v>
      </c>
      <c r="AH18" s="9">
        <v>5.62</v>
      </c>
      <c r="AI18" s="9">
        <v>0.98</v>
      </c>
      <c r="AJ18" s="9">
        <v>0</v>
      </c>
    </row>
    <row r="19" spans="1:36" x14ac:dyDescent="0.35">
      <c r="A19" s="84" t="s">
        <v>68</v>
      </c>
      <c r="B19" s="84" t="s">
        <v>69</v>
      </c>
      <c r="C19" s="10" t="s">
        <v>57</v>
      </c>
      <c r="D19" s="6">
        <v>108.99</v>
      </c>
      <c r="E19" s="6">
        <v>35.92</v>
      </c>
      <c r="F19" s="6">
        <v>24.98</v>
      </c>
      <c r="G19" s="6">
        <v>17.61</v>
      </c>
      <c r="H19" s="6">
        <v>8.4499999999999993</v>
      </c>
      <c r="I19" s="6">
        <v>4.6399999999999997</v>
      </c>
      <c r="J19" s="6">
        <v>2.36</v>
      </c>
      <c r="K19" s="6">
        <v>2.65</v>
      </c>
      <c r="L19" s="6">
        <v>2.4900000000000002</v>
      </c>
      <c r="M19" s="6">
        <v>1.94</v>
      </c>
      <c r="N19" s="6">
        <v>2.94</v>
      </c>
      <c r="O19" s="6">
        <v>6.19</v>
      </c>
      <c r="P19" s="6">
        <v>6.75</v>
      </c>
      <c r="Q19" s="6">
        <v>6.54</v>
      </c>
      <c r="R19" s="6">
        <v>10.09</v>
      </c>
      <c r="S19" s="6">
        <v>15.4</v>
      </c>
      <c r="T19" s="6">
        <v>3.53</v>
      </c>
      <c r="U19" s="6">
        <v>-1.08</v>
      </c>
      <c r="V19" s="6">
        <v>4.37</v>
      </c>
      <c r="W19" s="6">
        <v>2.2599999999999998</v>
      </c>
      <c r="X19" s="6">
        <v>-0.03</v>
      </c>
      <c r="Y19" s="6">
        <v>0.62</v>
      </c>
      <c r="Z19" s="6">
        <v>0.17</v>
      </c>
      <c r="AA19" s="6">
        <v>0.14000000000000001</v>
      </c>
      <c r="AB19" s="6">
        <v>2.93</v>
      </c>
      <c r="AC19" s="6">
        <v>2.5299999999999998</v>
      </c>
      <c r="AD19" s="6">
        <v>2.81</v>
      </c>
      <c r="AE19" s="6">
        <v>0.22</v>
      </c>
      <c r="AF19" s="6">
        <v>3.28</v>
      </c>
      <c r="AG19" s="6">
        <v>17.309999999999999</v>
      </c>
      <c r="AH19" s="6">
        <v>8.94</v>
      </c>
      <c r="AI19" s="6">
        <v>1.27</v>
      </c>
      <c r="AJ19" s="6">
        <v>0</v>
      </c>
    </row>
    <row r="20" spans="1:36" x14ac:dyDescent="0.35">
      <c r="A20" s="84" t="s">
        <v>70</v>
      </c>
      <c r="B20" s="84" t="s">
        <v>71</v>
      </c>
      <c r="C20" s="10" t="s">
        <v>57</v>
      </c>
      <c r="D20" s="9">
        <v>410.45</v>
      </c>
      <c r="E20" s="9">
        <v>72.25</v>
      </c>
      <c r="F20" s="9">
        <v>39.65</v>
      </c>
      <c r="G20" s="9">
        <v>24.63</v>
      </c>
      <c r="H20" s="9">
        <v>8.8800000000000008</v>
      </c>
      <c r="I20" s="9">
        <v>5.07</v>
      </c>
      <c r="J20" s="9">
        <v>0.73</v>
      </c>
      <c r="K20" s="9">
        <v>0.98</v>
      </c>
      <c r="L20" s="9">
        <v>1.37</v>
      </c>
      <c r="M20" s="9">
        <v>0.28000000000000003</v>
      </c>
      <c r="N20" s="9">
        <v>-1.1299999999999999</v>
      </c>
      <c r="O20" s="9">
        <v>1.1599999999999999</v>
      </c>
      <c r="P20" s="9">
        <v>2.66</v>
      </c>
      <c r="Q20" s="9">
        <v>3.74</v>
      </c>
      <c r="R20" s="9">
        <v>5.74</v>
      </c>
      <c r="S20" s="9">
        <v>10.93</v>
      </c>
      <c r="T20" s="9">
        <v>4.45</v>
      </c>
      <c r="U20" s="9">
        <v>1.32</v>
      </c>
      <c r="V20" s="9">
        <v>4.13</v>
      </c>
      <c r="W20" s="9">
        <v>3.09</v>
      </c>
      <c r="X20" s="9">
        <v>1.05</v>
      </c>
      <c r="Y20" s="9">
        <v>0.1</v>
      </c>
      <c r="Z20" s="9">
        <v>-0.88</v>
      </c>
      <c r="AA20" s="9">
        <v>0.91</v>
      </c>
      <c r="AB20" s="9">
        <v>3.72</v>
      </c>
      <c r="AC20" s="9">
        <v>2.7</v>
      </c>
      <c r="AD20" s="9">
        <v>2.33</v>
      </c>
      <c r="AE20" s="9">
        <v>1.2</v>
      </c>
      <c r="AF20" s="9">
        <v>4.68</v>
      </c>
      <c r="AG20" s="9">
        <v>19.71</v>
      </c>
      <c r="AH20" s="9">
        <v>9.1199999999999992</v>
      </c>
      <c r="AI20" s="9">
        <v>0.72</v>
      </c>
      <c r="AJ20" s="9">
        <v>0</v>
      </c>
    </row>
    <row r="21" spans="1:36" x14ac:dyDescent="0.35">
      <c r="A21" s="84" t="s">
        <v>72</v>
      </c>
      <c r="B21" s="84" t="s">
        <v>73</v>
      </c>
      <c r="C21" s="5" t="s">
        <v>40</v>
      </c>
      <c r="D21" s="6">
        <v>3.59</v>
      </c>
      <c r="E21" s="6">
        <v>2.19</v>
      </c>
      <c r="F21" s="6">
        <v>1.87</v>
      </c>
      <c r="G21" s="6">
        <v>1.18</v>
      </c>
      <c r="H21" s="6">
        <v>1.37</v>
      </c>
      <c r="I21" s="6">
        <v>0.96</v>
      </c>
      <c r="J21" s="6">
        <v>1.03</v>
      </c>
      <c r="K21" s="6">
        <v>3.15</v>
      </c>
      <c r="L21" s="6">
        <v>2.66</v>
      </c>
      <c r="M21" s="6">
        <v>2.0699999999999998</v>
      </c>
      <c r="N21" s="6">
        <v>2.0499999999999998</v>
      </c>
      <c r="O21" s="6">
        <v>2.23</v>
      </c>
      <c r="P21" s="6">
        <v>2.4900000000000002</v>
      </c>
      <c r="Q21" s="6">
        <v>2.67</v>
      </c>
      <c r="R21" s="6">
        <v>2.31</v>
      </c>
      <c r="S21" s="6">
        <v>3.4</v>
      </c>
      <c r="T21" s="6">
        <v>0.37</v>
      </c>
      <c r="U21" s="6">
        <v>2.27</v>
      </c>
      <c r="V21" s="6">
        <v>3.41</v>
      </c>
      <c r="W21" s="6">
        <v>2.66</v>
      </c>
      <c r="X21" s="6">
        <v>1.73</v>
      </c>
      <c r="Y21" s="6">
        <v>0.63</v>
      </c>
      <c r="Z21" s="6">
        <v>0.47</v>
      </c>
      <c r="AA21" s="6">
        <v>0.28999999999999998</v>
      </c>
      <c r="AB21" s="6">
        <v>1.73</v>
      </c>
      <c r="AC21" s="6">
        <v>1.53</v>
      </c>
      <c r="AD21" s="6">
        <v>1.74</v>
      </c>
      <c r="AE21" s="6">
        <v>0.82</v>
      </c>
      <c r="AF21" s="6">
        <v>2.5299999999999998</v>
      </c>
      <c r="AG21" s="6">
        <v>6.34</v>
      </c>
      <c r="AH21" s="6">
        <v>3.74</v>
      </c>
      <c r="AI21" s="6">
        <v>2.0499999999999998</v>
      </c>
      <c r="AJ21" s="6">
        <v>0</v>
      </c>
    </row>
    <row r="22" spans="1:36" x14ac:dyDescent="0.35">
      <c r="A22" s="84" t="s">
        <v>74</v>
      </c>
      <c r="B22" s="84" t="s">
        <v>75</v>
      </c>
      <c r="C22" s="5" t="s">
        <v>40</v>
      </c>
      <c r="D22" s="9">
        <v>4.1399999999999997</v>
      </c>
      <c r="E22" s="9">
        <v>4.13</v>
      </c>
      <c r="F22" s="9">
        <v>4.43</v>
      </c>
      <c r="G22" s="9">
        <v>2.0499999999999998</v>
      </c>
      <c r="H22" s="9">
        <v>3.11</v>
      </c>
      <c r="I22" s="9">
        <v>2.39</v>
      </c>
      <c r="J22" s="9">
        <v>2.13</v>
      </c>
      <c r="K22" s="9">
        <v>2.37</v>
      </c>
      <c r="L22" s="9">
        <v>2.93</v>
      </c>
      <c r="M22" s="9">
        <v>2.19</v>
      </c>
      <c r="N22" s="9">
        <v>1.3</v>
      </c>
      <c r="O22" s="9">
        <v>2.79</v>
      </c>
      <c r="P22" s="9">
        <v>3.01</v>
      </c>
      <c r="Q22" s="9">
        <v>2.77</v>
      </c>
      <c r="R22" s="9">
        <v>1.25</v>
      </c>
      <c r="S22" s="9">
        <v>4.26</v>
      </c>
      <c r="T22" s="9">
        <v>2.08</v>
      </c>
      <c r="U22" s="9">
        <v>1.52</v>
      </c>
      <c r="V22" s="9">
        <v>2.96</v>
      </c>
      <c r="W22" s="9">
        <v>2.38</v>
      </c>
      <c r="X22" s="9">
        <v>1.18</v>
      </c>
      <c r="Y22" s="9">
        <v>0.31</v>
      </c>
      <c r="Z22" s="9">
        <v>1.1000000000000001</v>
      </c>
      <c r="AA22" s="9">
        <v>0.64</v>
      </c>
      <c r="AB22" s="9">
        <v>1.36</v>
      </c>
      <c r="AC22" s="9">
        <v>1.1599999999999999</v>
      </c>
      <c r="AD22" s="9">
        <v>1.64</v>
      </c>
      <c r="AE22" s="9">
        <v>0.64</v>
      </c>
      <c r="AF22" s="9">
        <v>1.5</v>
      </c>
      <c r="AG22" s="9">
        <v>6.15</v>
      </c>
      <c r="AH22" s="9">
        <v>5.09</v>
      </c>
      <c r="AI22" s="9">
        <v>1.65</v>
      </c>
      <c r="AJ22" s="9">
        <v>0</v>
      </c>
    </row>
    <row r="23" spans="1:36" x14ac:dyDescent="0.35">
      <c r="A23" s="84" t="s">
        <v>76</v>
      </c>
      <c r="B23" s="84" t="s">
        <v>77</v>
      </c>
      <c r="C23" s="5" t="s">
        <v>40</v>
      </c>
      <c r="D23" s="6">
        <v>2.58</v>
      </c>
      <c r="E23" s="6">
        <v>2.8</v>
      </c>
      <c r="F23" s="6">
        <v>1.92</v>
      </c>
      <c r="G23" s="6">
        <v>2.11</v>
      </c>
      <c r="H23" s="6">
        <v>2.11</v>
      </c>
      <c r="I23" s="6">
        <v>1.96</v>
      </c>
      <c r="J23" s="6">
        <v>2.16</v>
      </c>
      <c r="K23" s="6">
        <v>2.36</v>
      </c>
      <c r="L23" s="6">
        <v>4.16</v>
      </c>
      <c r="M23" s="6">
        <v>3.29</v>
      </c>
      <c r="N23" s="6">
        <v>2.09</v>
      </c>
      <c r="O23" s="6">
        <v>1.26</v>
      </c>
      <c r="P23" s="6">
        <v>1.69</v>
      </c>
      <c r="Q23" s="6">
        <v>1.1000000000000001</v>
      </c>
      <c r="R23" s="6">
        <v>1.61</v>
      </c>
      <c r="S23" s="6">
        <v>2.4900000000000002</v>
      </c>
      <c r="T23" s="6">
        <v>1.19</v>
      </c>
      <c r="U23" s="6">
        <v>1.28</v>
      </c>
      <c r="V23" s="6">
        <v>2.34</v>
      </c>
      <c r="W23" s="6">
        <v>2.46</v>
      </c>
      <c r="X23" s="6">
        <v>2.5099999999999998</v>
      </c>
      <c r="Y23" s="6">
        <v>0.98</v>
      </c>
      <c r="Z23" s="6">
        <v>0.6</v>
      </c>
      <c r="AA23" s="6">
        <v>0.32</v>
      </c>
      <c r="AB23" s="6">
        <v>1.38</v>
      </c>
      <c r="AC23" s="6">
        <v>1.7</v>
      </c>
      <c r="AD23" s="6">
        <v>2.63</v>
      </c>
      <c r="AE23" s="6">
        <v>1.27</v>
      </c>
      <c r="AF23" s="6">
        <v>2.68</v>
      </c>
      <c r="AG23" s="6">
        <v>10</v>
      </c>
      <c r="AH23" s="6">
        <v>3.84</v>
      </c>
      <c r="AI23" s="6">
        <v>3.35</v>
      </c>
      <c r="AJ23" s="6">
        <v>0</v>
      </c>
    </row>
    <row r="24" spans="1:36" x14ac:dyDescent="0.35">
      <c r="A24" s="84" t="s">
        <v>78</v>
      </c>
      <c r="B24" s="84" t="s">
        <v>79</v>
      </c>
      <c r="C24" s="5" t="s">
        <v>40</v>
      </c>
      <c r="D24" s="9">
        <v>6.78</v>
      </c>
      <c r="E24" s="9">
        <v>5.42</v>
      </c>
      <c r="F24" s="9">
        <v>4.22</v>
      </c>
      <c r="G24" s="9">
        <v>3.07</v>
      </c>
      <c r="H24" s="9">
        <v>2.34</v>
      </c>
      <c r="I24" s="9">
        <v>2.57</v>
      </c>
      <c r="J24" s="9">
        <v>2.34</v>
      </c>
      <c r="K24" s="9">
        <v>2.85</v>
      </c>
      <c r="L24" s="9">
        <v>4.37</v>
      </c>
      <c r="M24" s="9">
        <v>3.6</v>
      </c>
      <c r="N24" s="9">
        <v>3.22</v>
      </c>
      <c r="O24" s="9">
        <v>2.37</v>
      </c>
      <c r="P24" s="9">
        <v>2.2799999999999998</v>
      </c>
      <c r="Q24" s="9">
        <v>3.11</v>
      </c>
      <c r="R24" s="9">
        <v>2.4500000000000002</v>
      </c>
      <c r="S24" s="9">
        <v>2.59</v>
      </c>
      <c r="T24" s="9">
        <v>-0.84</v>
      </c>
      <c r="U24" s="9">
        <v>1.4</v>
      </c>
      <c r="V24" s="9">
        <v>3.65</v>
      </c>
      <c r="W24" s="9">
        <v>2.77</v>
      </c>
      <c r="X24" s="9">
        <v>0.27</v>
      </c>
      <c r="Y24" s="9">
        <v>-0.28000000000000003</v>
      </c>
      <c r="Z24" s="9">
        <v>0.49</v>
      </c>
      <c r="AA24" s="9">
        <v>0.61</v>
      </c>
      <c r="AB24" s="9">
        <v>1.37</v>
      </c>
      <c r="AC24" s="9">
        <v>0.99</v>
      </c>
      <c r="AD24" s="9">
        <v>0.34</v>
      </c>
      <c r="AE24" s="9">
        <v>-0.01</v>
      </c>
      <c r="AF24" s="9">
        <v>1.27</v>
      </c>
      <c r="AG24" s="9">
        <v>7.83</v>
      </c>
      <c r="AH24" s="9">
        <v>4.3099999999999996</v>
      </c>
      <c r="AI24" s="9">
        <v>2.42</v>
      </c>
      <c r="AJ24" s="9">
        <v>0</v>
      </c>
    </row>
    <row r="25" spans="1:36" x14ac:dyDescent="0.35">
      <c r="A25" s="84" t="s">
        <v>80</v>
      </c>
      <c r="B25" s="84" t="s">
        <v>81</v>
      </c>
      <c r="C25" s="85" t="s">
        <v>81</v>
      </c>
      <c r="D25" s="6">
        <v>2.95</v>
      </c>
      <c r="E25" s="6">
        <v>2.61</v>
      </c>
      <c r="F25" s="6">
        <v>2.81</v>
      </c>
      <c r="G25" s="6">
        <v>2.93</v>
      </c>
      <c r="H25" s="6">
        <v>2.34</v>
      </c>
      <c r="I25" s="6">
        <v>1.55</v>
      </c>
      <c r="J25" s="6">
        <v>2.19</v>
      </c>
      <c r="K25" s="6">
        <v>3.38</v>
      </c>
      <c r="L25" s="6">
        <v>2.83</v>
      </c>
      <c r="M25" s="6">
        <v>1.59</v>
      </c>
      <c r="N25" s="6">
        <v>2.27</v>
      </c>
      <c r="O25" s="6">
        <v>2.68</v>
      </c>
      <c r="P25" s="6">
        <v>3.39</v>
      </c>
      <c r="Q25" s="6">
        <v>3.23</v>
      </c>
      <c r="R25" s="6">
        <v>2.85</v>
      </c>
      <c r="S25" s="6">
        <v>3.84</v>
      </c>
      <c r="T25" s="6">
        <v>-0.36</v>
      </c>
      <c r="U25" s="6">
        <v>1.64</v>
      </c>
      <c r="V25" s="6">
        <v>3.16</v>
      </c>
      <c r="W25" s="6">
        <v>2.0699999999999998</v>
      </c>
      <c r="X25" s="6">
        <v>1.46</v>
      </c>
      <c r="Y25" s="6">
        <v>1.62</v>
      </c>
      <c r="Z25" s="6">
        <v>0.12</v>
      </c>
      <c r="AA25" s="6">
        <v>1.26</v>
      </c>
      <c r="AB25" s="6">
        <v>2.13</v>
      </c>
      <c r="AC25" s="6">
        <v>2.44</v>
      </c>
      <c r="AD25" s="6">
        <v>1.81</v>
      </c>
      <c r="AE25" s="6">
        <v>1.23</v>
      </c>
      <c r="AF25" s="6">
        <v>4.7</v>
      </c>
      <c r="AG25" s="6">
        <v>8</v>
      </c>
      <c r="AH25" s="6">
        <v>4.12</v>
      </c>
      <c r="AI25" s="6">
        <v>2.95</v>
      </c>
      <c r="AJ25" s="6">
        <v>0</v>
      </c>
    </row>
    <row r="26" spans="1:36" x14ac:dyDescent="0.35">
      <c r="A26" s="84" t="s">
        <v>82</v>
      </c>
      <c r="B26" s="84" t="s">
        <v>83</v>
      </c>
      <c r="C26" s="85" t="s">
        <v>83</v>
      </c>
      <c r="D26" s="9">
        <v>2.56</v>
      </c>
      <c r="E26" s="9">
        <v>2.2200000000000002</v>
      </c>
      <c r="F26" s="9">
        <v>2.7</v>
      </c>
      <c r="G26" s="9">
        <v>2.85</v>
      </c>
      <c r="H26" s="9">
        <v>2.2000000000000002</v>
      </c>
      <c r="I26" s="9">
        <v>1.82</v>
      </c>
      <c r="J26" s="9">
        <v>1.75</v>
      </c>
      <c r="K26" s="9">
        <v>1.18</v>
      </c>
      <c r="L26" s="9">
        <v>1.53</v>
      </c>
      <c r="M26" s="9">
        <v>1.52</v>
      </c>
      <c r="N26" s="9">
        <v>1.38</v>
      </c>
      <c r="O26" s="9">
        <v>1.39</v>
      </c>
      <c r="P26" s="9">
        <v>2.09</v>
      </c>
      <c r="Q26" s="9">
        <v>2.46</v>
      </c>
      <c r="R26" s="9">
        <v>2.39</v>
      </c>
      <c r="S26" s="9">
        <v>3.52</v>
      </c>
      <c r="T26" s="9">
        <v>1.96</v>
      </c>
      <c r="U26" s="9">
        <v>2.4900000000000002</v>
      </c>
      <c r="V26" s="9">
        <v>3.86</v>
      </c>
      <c r="W26" s="9">
        <v>2.57</v>
      </c>
      <c r="X26" s="9">
        <v>2.29</v>
      </c>
      <c r="Y26" s="9">
        <v>1.45</v>
      </c>
      <c r="Z26" s="9">
        <v>0.37</v>
      </c>
      <c r="AA26" s="9">
        <v>1.01</v>
      </c>
      <c r="AB26" s="9">
        <v>2.56</v>
      </c>
      <c r="AC26" s="9">
        <v>2.29</v>
      </c>
      <c r="AD26" s="9">
        <v>1.74</v>
      </c>
      <c r="AE26" s="9">
        <v>0.99</v>
      </c>
      <c r="AF26" s="9">
        <v>2.52</v>
      </c>
      <c r="AG26" s="9">
        <v>7.92</v>
      </c>
      <c r="AH26" s="9">
        <v>6.79</v>
      </c>
      <c r="AI26" s="9">
        <v>3.27</v>
      </c>
      <c r="AJ26" s="9">
        <v>0</v>
      </c>
    </row>
  </sheetData>
  <mergeCells count="2">
    <mergeCell ref="A2:AH2"/>
    <mergeCell ref="A1:AH1"/>
  </mergeCells>
  <conditionalFormatting sqref="D5:AH26">
    <cfRule type="colorScale" priority="1">
      <colorScale>
        <cfvo type="num" val="-5"/>
        <cfvo type="num" val="2"/>
        <cfvo type="num" val="15"/>
        <color rgb="FF4472C4"/>
        <color rgb="FFFFFF99"/>
        <color rgb="FFC0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"/>
  <sheetViews>
    <sheetView showGridLines="0" tabSelected="1" workbookViewId="0">
      <pane xSplit="3" ySplit="4" topLeftCell="G5" activePane="bottomRight" state="frozen"/>
      <selection pane="topRight"/>
      <selection pane="bottomLeft"/>
      <selection pane="bottomRight" activeCell="D6" sqref="D6"/>
    </sheetView>
  </sheetViews>
  <sheetFormatPr baseColWidth="10" defaultColWidth="8.7265625" defaultRowHeight="14.5" x14ac:dyDescent="0.35"/>
  <cols>
    <col min="1" max="1" width="8" customWidth="1"/>
    <col min="2" max="2" width="14" customWidth="1"/>
    <col min="3" max="3" width="13" customWidth="1"/>
    <col min="4" max="5" width="11" customWidth="1"/>
    <col min="6" max="8" width="8" customWidth="1"/>
    <col min="9" max="10" width="11" customWidth="1"/>
    <col min="11" max="11" width="10" customWidth="1"/>
    <col min="12" max="13" width="9" customWidth="1"/>
    <col min="14" max="15" width="8" customWidth="1"/>
    <col min="16" max="16" width="7" customWidth="1"/>
    <col min="17" max="17" width="10" customWidth="1"/>
    <col min="18" max="18" width="11" customWidth="1"/>
  </cols>
  <sheetData>
    <row r="1" spans="1:18" x14ac:dyDescent="0.35">
      <c r="A1" s="77" t="s">
        <v>84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18" x14ac:dyDescent="0.35">
      <c r="A2" s="75" t="s">
        <v>85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18" x14ac:dyDescent="0.35">
      <c r="A3" s="76" t="s">
        <v>86</v>
      </c>
      <c r="B3" s="72"/>
      <c r="C3" s="72"/>
      <c r="D3" s="79" t="s">
        <v>87</v>
      </c>
      <c r="E3" s="72"/>
      <c r="F3" s="72"/>
      <c r="G3" s="72"/>
      <c r="H3" s="72"/>
      <c r="I3" s="73" t="s">
        <v>88</v>
      </c>
      <c r="J3" s="72"/>
      <c r="K3" s="72"/>
      <c r="L3" s="72"/>
      <c r="M3" s="72"/>
      <c r="N3" s="78" t="s">
        <v>89</v>
      </c>
      <c r="O3" s="72"/>
      <c r="P3" s="72"/>
      <c r="Q3" s="74" t="s">
        <v>90</v>
      </c>
      <c r="R3" s="72"/>
    </row>
    <row r="4" spans="1:18" ht="40" customHeight="1" x14ac:dyDescent="0.35">
      <c r="A4" s="14" t="s">
        <v>2</v>
      </c>
      <c r="B4" s="14" t="s">
        <v>3</v>
      </c>
      <c r="C4" s="14" t="s">
        <v>4</v>
      </c>
      <c r="D4" s="14" t="s">
        <v>91</v>
      </c>
      <c r="E4" s="14" t="s">
        <v>92</v>
      </c>
      <c r="F4" s="14" t="s">
        <v>93</v>
      </c>
      <c r="G4" s="14" t="s">
        <v>94</v>
      </c>
      <c r="H4" s="14" t="s">
        <v>95</v>
      </c>
      <c r="I4" s="14" t="s">
        <v>96</v>
      </c>
      <c r="J4" s="14" t="s">
        <v>97</v>
      </c>
      <c r="K4" s="14" t="s">
        <v>98</v>
      </c>
      <c r="L4" s="14" t="s">
        <v>99</v>
      </c>
      <c r="M4" s="14" t="s">
        <v>100</v>
      </c>
      <c r="N4" s="14" t="s">
        <v>101</v>
      </c>
      <c r="O4" s="14" t="s">
        <v>102</v>
      </c>
      <c r="P4" s="14" t="s">
        <v>103</v>
      </c>
      <c r="Q4" s="14" t="s">
        <v>104</v>
      </c>
      <c r="R4" s="14" t="s">
        <v>105</v>
      </c>
    </row>
    <row r="5" spans="1:18" x14ac:dyDescent="0.35">
      <c r="A5" s="3" t="s">
        <v>38</v>
      </c>
      <c r="B5" s="4" t="s">
        <v>39</v>
      </c>
      <c r="C5" s="5" t="s">
        <v>40</v>
      </c>
      <c r="D5" s="15">
        <f>AVERAGE('1. Datos brutos'!$D$5:$AH$5)</f>
        <v>1.9029032258064518</v>
      </c>
      <c r="E5" s="15">
        <f>STDEV('1. Datos brutos'!$D$5:$AH$5)</f>
        <v>1.4896021695929131</v>
      </c>
      <c r="F5" s="15">
        <f>MIN('1. Datos brutos'!$D$5:$AH$5)</f>
        <v>0.14000000000000001</v>
      </c>
      <c r="G5" s="16" t="str">
        <f>INDEX('1. Datos brutos'!$D$4:$AH$4,MATCH(MIN('1. Datos brutos'!$D$5:$AH$5),'1. Datos brutos'!$D$5:$AH$5,0))</f>
        <v>2020</v>
      </c>
      <c r="H5" s="15">
        <f>MAX('1. Datos brutos'!$D$5:$AH$5)</f>
        <v>6.87</v>
      </c>
      <c r="I5" s="17">
        <f>AVERAGEIF('1. Datos brutos'!$D$5:$AH$5,"&lt;=30")</f>
        <v>1.9029032258064518</v>
      </c>
      <c r="J5" s="17">
        <f>STDEV(IF('1. Datos brutos'!$D$5:$AH$5&lt;=30,'1. Datos brutos'!$D$5:$AH$5))</f>
        <v>1.4896021695929131</v>
      </c>
      <c r="K5" s="17">
        <f>MEDIAN(IF('1. Datos brutos'!$D$5:$AH$5&lt;=30,'1. Datos brutos'!$D$5:$AH$5))</f>
        <v>1.55</v>
      </c>
      <c r="L5" s="18">
        <f t="shared" ref="L5:L26" si="0">IF(I5&lt;&gt;0,(J5/I5)*100,"")</f>
        <v>78.280500521071886</v>
      </c>
      <c r="M5" s="17">
        <f>PERCENTILE(IF('1. Datos brutos'!$D$5:$AH$5&lt;=30,'1. Datos brutos'!$D$5:$AH$5),0.75)-PERCENTILE(IF('1. Datos brutos'!$D$5:$AH$5&lt;=30,'1. Datos brutos'!$D$5:$AH$5),0.25)</f>
        <v>0.98</v>
      </c>
      <c r="N5" s="19">
        <f>PERCENTILE(IF('1. Datos brutos'!$D$5:$AH$5&lt;=30,'1. Datos brutos'!$D$5:$AH$5),0.25)</f>
        <v>1.0649999999999999</v>
      </c>
      <c r="O5" s="19">
        <f>PERCENTILE(IF('1. Datos brutos'!$D$5:$AH$5&lt;=30,'1. Datos brutos'!$D$5:$AH$5),0.75)</f>
        <v>2.0449999999999999</v>
      </c>
      <c r="P5" s="20">
        <f>COUNT('1. Datos brutos'!$D$5:$AH$5)</f>
        <v>31</v>
      </c>
      <c r="Q5" s="21">
        <f>COUNTIF('1. Datos brutos'!$D$5:$AH$5,"&gt;30")</f>
        <v>0</v>
      </c>
      <c r="R5" s="22">
        <f>COUNTIF('1. Datos brutos'!$D$5:$AH$5,"&lt;0")</f>
        <v>0</v>
      </c>
    </row>
    <row r="6" spans="1:18" x14ac:dyDescent="0.35">
      <c r="A6" s="7" t="s">
        <v>41</v>
      </c>
      <c r="B6" s="8" t="s">
        <v>42</v>
      </c>
      <c r="C6" s="5" t="s">
        <v>40</v>
      </c>
      <c r="D6" s="23">
        <f>AVERAGE('1. Datos brutos'!$D$6:$AH$6)</f>
        <v>2.3370967741935487</v>
      </c>
      <c r="E6" s="23">
        <f>STDEV('1. Datos brutos'!$D$6:$AH$6)</f>
        <v>1.7447773373669337</v>
      </c>
      <c r="F6" s="23">
        <f>MIN('1. Datos brutos'!$D$6:$AH$6)</f>
        <v>0.51</v>
      </c>
      <c r="G6" s="24" t="str">
        <f>INDEX('1. Datos brutos'!$D$4:$AH$4,MATCH(MIN('1. Datos brutos'!$D$6:$AH$6),'1. Datos brutos'!$D$6:$AH$6,0))</f>
        <v>2009</v>
      </c>
      <c r="H6" s="23">
        <f>MAX('1. Datos brutos'!$D$6:$AH$6)</f>
        <v>8.5500000000000007</v>
      </c>
      <c r="I6" s="25">
        <f>AVERAGEIF('1. Datos brutos'!$D$6:$AH$6,"&lt;=30")</f>
        <v>2.3370967741935487</v>
      </c>
      <c r="J6" s="25">
        <f>STDEV(IF('1. Datos brutos'!$D$6:$AH$6&lt;=30,'1. Datos brutos'!$D$6:$AH$6))</f>
        <v>1.7447773373669337</v>
      </c>
      <c r="K6" s="25">
        <f>MEDIAN(IF('1. Datos brutos'!$D$6:$AH$6&lt;=30,'1. Datos brutos'!$D$6:$AH$6))</f>
        <v>2</v>
      </c>
      <c r="L6" s="26">
        <f t="shared" si="0"/>
        <v>74.655759086783902</v>
      </c>
      <c r="M6" s="25">
        <f>PERCENTILE(IF('1. Datos brutos'!$D$6:$AH$6&lt;=30,'1. Datos brutos'!$D$6:$AH$6),0.75)-PERCENTILE(IF('1. Datos brutos'!$D$6:$AH$6&lt;=30,'1. Datos brutos'!$D$6:$AH$6),0.25)</f>
        <v>1.1600000000000004</v>
      </c>
      <c r="N6" s="27">
        <f>PERCENTILE(IF('1. Datos brutos'!$D$6:$AH$6&lt;=30,'1. Datos brutos'!$D$6:$AH$6),0.25)</f>
        <v>1.41</v>
      </c>
      <c r="O6" s="27">
        <f>PERCENTILE(IF('1. Datos brutos'!$D$6:$AH$6&lt;=30,'1. Datos brutos'!$D$6:$AH$6),0.75)</f>
        <v>2.5700000000000003</v>
      </c>
      <c r="P6" s="28">
        <f>COUNT('1. Datos brutos'!$D$6:$AH$6)</f>
        <v>31</v>
      </c>
      <c r="Q6" s="29">
        <f>COUNTIF('1. Datos brutos'!$D$6:$AH$6,"&gt;30")</f>
        <v>0</v>
      </c>
      <c r="R6" s="30">
        <f>COUNTIF('1. Datos brutos'!$D$6:$AH$6,"&lt;0")</f>
        <v>0</v>
      </c>
    </row>
    <row r="7" spans="1:18" x14ac:dyDescent="0.35">
      <c r="A7" s="3" t="s">
        <v>43</v>
      </c>
      <c r="B7" s="4" t="s">
        <v>44</v>
      </c>
      <c r="C7" s="5" t="s">
        <v>40</v>
      </c>
      <c r="D7" s="15">
        <f>AVERAGE('1. Datos brutos'!$D$7:$AH$7)</f>
        <v>2.2112903225806453</v>
      </c>
      <c r="E7" s="15">
        <f>STDEV('1. Datos brutos'!$D$7:$AH$7)</f>
        <v>1.696134314523241</v>
      </c>
      <c r="F7" s="15">
        <f>MIN('1. Datos brutos'!$D$7:$AH$7)</f>
        <v>-0.05</v>
      </c>
      <c r="G7" s="16" t="str">
        <f>INDEX('1. Datos brutos'!$D$4:$AH$4,MATCH(MIN('1. Datos brutos'!$D$7:$AH$7),'1. Datos brutos'!$D$7:$AH$7,0))</f>
        <v>2009</v>
      </c>
      <c r="H7" s="15">
        <f>MAX('1. Datos brutos'!$D$7:$AH$7)</f>
        <v>9.6</v>
      </c>
      <c r="I7" s="17">
        <f>AVERAGEIF('1. Datos brutos'!$D$7:$AH$7,"&lt;=30")</f>
        <v>2.2112903225806453</v>
      </c>
      <c r="J7" s="17">
        <f>STDEV(IF('1. Datos brutos'!$D$7:$AH$7&lt;=30,'1. Datos brutos'!$D$7:$AH$7))</f>
        <v>1.696134314523241</v>
      </c>
      <c r="K7" s="17">
        <f>MEDIAN(IF('1. Datos brutos'!$D$7:$AH$7&lt;=30,'1. Datos brutos'!$D$7:$AH$7))</f>
        <v>2.0499999999999998</v>
      </c>
      <c r="L7" s="18">
        <f t="shared" si="0"/>
        <v>76.7033752738446</v>
      </c>
      <c r="M7" s="17">
        <f>PERCENTILE(IF('1. Datos brutos'!$D$7:$AH$7&lt;=30,'1. Datos brutos'!$D$7:$AH$7),0.75)-PERCENTILE(IF('1. Datos brutos'!$D$7:$AH$7&lt;=30,'1. Datos brutos'!$D$7:$AH$7),0.25)</f>
        <v>1.0499999999999998</v>
      </c>
      <c r="N7" s="19">
        <f>PERCENTILE(IF('1. Datos brutos'!$D$7:$AH$7&lt;=30,'1. Datos brutos'!$D$7:$AH$7),0.25)</f>
        <v>1.4550000000000001</v>
      </c>
      <c r="O7" s="19">
        <f>PERCENTILE(IF('1. Datos brutos'!$D$7:$AH$7&lt;=30,'1. Datos brutos'!$D$7:$AH$7),0.75)</f>
        <v>2.5049999999999999</v>
      </c>
      <c r="P7" s="20">
        <f>COUNT('1. Datos brutos'!$D$7:$AH$7)</f>
        <v>31</v>
      </c>
      <c r="Q7" s="21">
        <f>COUNTIF('1. Datos brutos'!$D$7:$AH$7,"&gt;30")</f>
        <v>0</v>
      </c>
      <c r="R7" s="22">
        <f>COUNTIF('1. Datos brutos'!$D$7:$AH$7,"&lt;0")</f>
        <v>1</v>
      </c>
    </row>
    <row r="8" spans="1:18" x14ac:dyDescent="0.35">
      <c r="A8" s="7" t="s">
        <v>45</v>
      </c>
      <c r="B8" s="8" t="s">
        <v>46</v>
      </c>
      <c r="C8" s="5" t="s">
        <v>40</v>
      </c>
      <c r="D8" s="23">
        <f>AVERAGE('1. Datos brutos'!$D$8:$AH$8)</f>
        <v>2.225483870967742</v>
      </c>
      <c r="E8" s="23">
        <f>STDEV('1. Datos brutos'!$D$8:$AH$8)</f>
        <v>2.1748928536208814</v>
      </c>
      <c r="F8" s="23">
        <f>MIN('1. Datos brutos'!$D$8:$AH$8)</f>
        <v>-2.1</v>
      </c>
      <c r="G8" s="24" t="str">
        <f>INDEX('1. Datos brutos'!$D$4:$AH$4,MATCH(MIN('1. Datos brutos'!$D$8:$AH$8),'1. Datos brutos'!$D$8:$AH$8,0))</f>
        <v>2015</v>
      </c>
      <c r="H8" s="23">
        <f>MAX('1. Datos brutos'!$D$8:$AH$8)</f>
        <v>8.4</v>
      </c>
      <c r="I8" s="25">
        <f>AVERAGEIF('1. Datos brutos'!$D$8:$AH$8,"&lt;=30")</f>
        <v>2.225483870967742</v>
      </c>
      <c r="J8" s="25">
        <f>STDEV(IF('1. Datos brutos'!$D$8:$AH$8&lt;=30,'1. Datos brutos'!$D$8:$AH$8))</f>
        <v>2.1748928536208814</v>
      </c>
      <c r="K8" s="25">
        <f>MEDIAN(IF('1. Datos brutos'!$D$8:$AH$8&lt;=30,'1. Datos brutos'!$D$8:$AH$8))</f>
        <v>2.39</v>
      </c>
      <c r="L8" s="26">
        <f t="shared" si="0"/>
        <v>97.726740777282672</v>
      </c>
      <c r="M8" s="25">
        <f>PERCENTILE(IF('1. Datos brutos'!$D$8:$AH$8&lt;=30,'1. Datos brutos'!$D$8:$AH$8),0.75)-PERCENTILE(IF('1. Datos brutos'!$D$8:$AH$8&lt;=30,'1. Datos brutos'!$D$8:$AH$8),0.25)</f>
        <v>2.4300000000000002</v>
      </c>
      <c r="N8" s="27">
        <f>PERCENTILE(IF('1. Datos brutos'!$D$8:$AH$8&lt;=30,'1. Datos brutos'!$D$8:$AH$8),0.25)</f>
        <v>0.98499999999999999</v>
      </c>
      <c r="O8" s="27">
        <f>PERCENTILE(IF('1. Datos brutos'!$D$8:$AH$8&lt;=30,'1. Datos brutos'!$D$8:$AH$8),0.75)</f>
        <v>3.415</v>
      </c>
      <c r="P8" s="28">
        <f>COUNT('1. Datos brutos'!$D$8:$AH$8)</f>
        <v>31</v>
      </c>
      <c r="Q8" s="29">
        <f>COUNTIF('1. Datos brutos'!$D$8:$AH$8,"&gt;30")</f>
        <v>0</v>
      </c>
      <c r="R8" s="30">
        <f>COUNTIF('1. Datos brutos'!$D$8:$AH$8,"&lt;0")</f>
        <v>5</v>
      </c>
    </row>
    <row r="9" spans="1:18" x14ac:dyDescent="0.35">
      <c r="A9" s="3" t="s">
        <v>47</v>
      </c>
      <c r="B9" s="4" t="s">
        <v>48</v>
      </c>
      <c r="C9" s="5" t="s">
        <v>40</v>
      </c>
      <c r="D9" s="15">
        <f>AVERAGE('1. Datos brutos'!$D$9:$AH$9)</f>
        <v>54.640967741935491</v>
      </c>
      <c r="E9" s="15">
        <f>STDEV('1. Datos brutos'!$D$9:$AH$9)</f>
        <v>268.91174412626958</v>
      </c>
      <c r="F9" s="15">
        <f>MIN('1. Datos brutos'!$D$9:$AH$9)</f>
        <v>-1.1299999999999999</v>
      </c>
      <c r="G9" s="16" t="str">
        <f>INDEX('1. Datos brutos'!$D$4:$AH$4,MATCH(MIN('1. Datos brutos'!$D$9:$AH$9),'1. Datos brutos'!$D$9:$AH$9,0))</f>
        <v>2016</v>
      </c>
      <c r="H9" s="15">
        <f>MAX('1. Datos brutos'!$D$9:$AH$9)</f>
        <v>1500</v>
      </c>
      <c r="I9" s="17">
        <f>AVERAGEIF('1. Datos brutos'!$D$9:$AH$9,"&lt;=30")</f>
        <v>2.9841379310344824</v>
      </c>
      <c r="J9" s="17">
        <f>STDEV(IF('1. Datos brutos'!$D$9:$AH$9&lt;=30,'1. Datos brutos'!$D$9:$AH$9))</f>
        <v>268.91174412626958</v>
      </c>
      <c r="K9" s="17">
        <f>MEDIAN(IF('1. Datos brutos'!$D$9:$AH$9&lt;=30,'1. Datos brutos'!$D$9:$AH$9))</f>
        <v>2.9</v>
      </c>
      <c r="L9" s="18">
        <f t="shared" si="0"/>
        <v>9011.371134344603</v>
      </c>
      <c r="M9" s="17">
        <f>PERCENTILE(IF('1. Datos brutos'!$D$9:$AH$9&lt;=30,'1. Datos brutos'!$D$9:$AH$9),0.75)-PERCENTILE(IF('1. Datos brutos'!$D$9:$AH$9&lt;=30,'1. Datos brutos'!$D$9:$AH$9),0.25)</f>
        <v>2.6499999999999995</v>
      </c>
      <c r="N9" s="19">
        <f>PERCENTILE(IF('1. Datos brutos'!$D$9:$AH$9&lt;=30,'1. Datos brutos'!$D$9:$AH$9),0.25)</f>
        <v>1.585</v>
      </c>
      <c r="O9" s="19">
        <f>PERCENTILE(IF('1. Datos brutos'!$D$9:$AH$9&lt;=30,'1. Datos brutos'!$D$9:$AH$9),0.75)</f>
        <v>4.2349999999999994</v>
      </c>
      <c r="P9" s="20">
        <f>COUNT('1. Datos brutos'!$D$9:$AH$9)</f>
        <v>31</v>
      </c>
      <c r="Q9" s="21">
        <f>COUNTIF('1. Datos brutos'!$D$9:$AH$9,"&gt;30")</f>
        <v>2</v>
      </c>
      <c r="R9" s="22">
        <f>COUNTIF('1. Datos brutos'!$D$9:$AH$9,"&lt;0")</f>
        <v>3</v>
      </c>
    </row>
    <row r="10" spans="1:18" x14ac:dyDescent="0.35">
      <c r="A10" s="7" t="s">
        <v>49</v>
      </c>
      <c r="B10" s="8" t="s">
        <v>50</v>
      </c>
      <c r="C10" s="5" t="s">
        <v>40</v>
      </c>
      <c r="D10" s="23">
        <f>AVERAGE('1. Datos brutos'!$D$10:$AH$10)</f>
        <v>5.6229032258064509</v>
      </c>
      <c r="E10" s="23">
        <f>STDEV('1. Datos brutos'!$D$10:$AH$10)</f>
        <v>5.1586368958917737</v>
      </c>
      <c r="F10" s="23">
        <f>MIN('1. Datos brutos'!$D$10:$AH$10)</f>
        <v>-0.52</v>
      </c>
      <c r="G10" s="24" t="str">
        <f>INDEX('1. Datos brutos'!$D$4:$AH$4,MATCH(MIN('1. Datos brutos'!$D$10:$AH$10),'1. Datos brutos'!$D$10:$AH$10,0))</f>
        <v>2016</v>
      </c>
      <c r="H10" s="23">
        <f>MAX('1. Datos brutos'!$D$10:$AH$10)</f>
        <v>23.29</v>
      </c>
      <c r="I10" s="25">
        <f>AVERAGEIF('1. Datos brutos'!$D$10:$AH$10,"&lt;=30")</f>
        <v>5.6229032258064509</v>
      </c>
      <c r="J10" s="25">
        <f>STDEV(IF('1. Datos brutos'!$D$10:$AH$10&lt;=30,'1. Datos brutos'!$D$10:$AH$10))</f>
        <v>5.1586368958917737</v>
      </c>
      <c r="K10" s="25">
        <f>MEDIAN(IF('1. Datos brutos'!$D$10:$AH$10&lt;=30,'1. Datos brutos'!$D$10:$AH$10))</f>
        <v>3.92</v>
      </c>
      <c r="L10" s="26">
        <f t="shared" si="0"/>
        <v>91.743298590238652</v>
      </c>
      <c r="M10" s="25">
        <f>PERCENTILE(IF('1. Datos brutos'!$D$10:$AH$10&lt;=30,'1. Datos brutos'!$D$10:$AH$10),0.75)-PERCENTILE(IF('1. Datos brutos'!$D$10:$AH$10&lt;=30,'1. Datos brutos'!$D$10:$AH$10),0.25)</f>
        <v>5.8250000000000011</v>
      </c>
      <c r="N10" s="27">
        <f>PERCENTILE(IF('1. Datos brutos'!$D$10:$AH$10&lt;=30,'1. Datos brutos'!$D$10:$AH$10),0.25)</f>
        <v>2.2249999999999996</v>
      </c>
      <c r="O10" s="27">
        <f>PERCENTILE(IF('1. Datos brutos'!$D$10:$AH$10&lt;=30,'1. Datos brutos'!$D$10:$AH$10),0.75)</f>
        <v>8.0500000000000007</v>
      </c>
      <c r="P10" s="28">
        <f>COUNT('1. Datos brutos'!$D$10:$AH$10)</f>
        <v>31</v>
      </c>
      <c r="Q10" s="29">
        <f>COUNTIF('1. Datos brutos'!$D$10:$AH$10,"&gt;30")</f>
        <v>0</v>
      </c>
      <c r="R10" s="30">
        <f>COUNTIF('1. Datos brutos'!$D$10:$AH$10,"&lt;0")</f>
        <v>3</v>
      </c>
    </row>
    <row r="11" spans="1:18" x14ac:dyDescent="0.35">
      <c r="A11" s="3" t="s">
        <v>51</v>
      </c>
      <c r="B11" s="4" t="s">
        <v>52</v>
      </c>
      <c r="C11" s="5" t="s">
        <v>40</v>
      </c>
      <c r="D11" s="15">
        <f>AVERAGE('1. Datos brutos'!$D$11:$AH$11)</f>
        <v>5.7412903225806451</v>
      </c>
      <c r="E11" s="15">
        <f>STDEV('1. Datos brutos'!$D$11:$AH$11)</f>
        <v>6.6950921038899747</v>
      </c>
      <c r="F11" s="15">
        <f>MIN('1. Datos brutos'!$D$11:$AH$11)</f>
        <v>-0.53</v>
      </c>
      <c r="G11" s="16" t="str">
        <f>INDEX('1. Datos brutos'!$D$4:$AH$4,MATCH(MIN('1. Datos brutos'!$D$11:$AH$11),'1. Datos brutos'!$D$11:$AH$11,0))</f>
        <v>2015</v>
      </c>
      <c r="H11" s="15">
        <f>MAX('1. Datos brutos'!$D$11:$AH$11)</f>
        <v>31.76</v>
      </c>
      <c r="I11" s="17">
        <f>AVERAGEIF('1. Datos brutos'!$D$11:$AH$11,"&lt;=30")</f>
        <v>4.8739999999999988</v>
      </c>
      <c r="J11" s="17">
        <f>STDEV(IF('1. Datos brutos'!$D$11:$AH$11&lt;=30,'1. Datos brutos'!$D$11:$AH$11))</f>
        <v>6.6950921038899747</v>
      </c>
      <c r="K11" s="17">
        <f>MEDIAN(IF('1. Datos brutos'!$D$11:$AH$11&lt;=30,'1. Datos brutos'!$D$11:$AH$11))</f>
        <v>3.59</v>
      </c>
      <c r="L11" s="18">
        <f t="shared" si="0"/>
        <v>137.36339975153828</v>
      </c>
      <c r="M11" s="17">
        <f>PERCENTILE(IF('1. Datos brutos'!$D$11:$AH$11&lt;=30,'1. Datos brutos'!$D$11:$AH$11),0.75)-PERCENTILE(IF('1. Datos brutos'!$D$11:$AH$11&lt;=30,'1. Datos brutos'!$D$11:$AH$11),0.25)</f>
        <v>6.37</v>
      </c>
      <c r="N11" s="19">
        <f>PERCENTILE(IF('1. Datos brutos'!$D$11:$AH$11&lt;=30,'1. Datos brutos'!$D$11:$AH$11),0.25)</f>
        <v>1.7549999999999999</v>
      </c>
      <c r="O11" s="19">
        <f>PERCENTILE(IF('1. Datos brutos'!$D$11:$AH$11&lt;=30,'1. Datos brutos'!$D$11:$AH$11),0.75)</f>
        <v>8.125</v>
      </c>
      <c r="P11" s="20">
        <f>COUNT('1. Datos brutos'!$D$11:$AH$11)</f>
        <v>31</v>
      </c>
      <c r="Q11" s="21">
        <f>COUNTIF('1. Datos brutos'!$D$11:$AH$11,"&gt;30")</f>
        <v>1</v>
      </c>
      <c r="R11" s="22">
        <f>COUNTIF('1. Datos brutos'!$D$11:$AH$11,"&lt;0")</f>
        <v>3</v>
      </c>
    </row>
    <row r="12" spans="1:18" x14ac:dyDescent="0.35">
      <c r="A12" s="7" t="s">
        <v>53</v>
      </c>
      <c r="B12" s="8" t="s">
        <v>54</v>
      </c>
      <c r="C12" s="5" t="s">
        <v>40</v>
      </c>
      <c r="D12" s="23">
        <f>AVERAGE('1. Datos brutos'!$D$12:$AH$12)</f>
        <v>2.5903225806451617</v>
      </c>
      <c r="E12" s="23">
        <f>STDEV('1. Datos brutos'!$D$12:$AH$12)</f>
        <v>1.8658232925815303</v>
      </c>
      <c r="F12" s="23">
        <f>MIN('1. Datos brutos'!$D$12:$AH$12)</f>
        <v>-0.5</v>
      </c>
      <c r="G12" s="24" t="str">
        <f>INDEX('1. Datos brutos'!$D$4:$AH$4,MATCH(MIN('1. Datos brutos'!$D$12:$AH$12),'1. Datos brutos'!$D$12:$AH$12,0))</f>
        <v>2015</v>
      </c>
      <c r="H12" s="23">
        <f>MAX('1. Datos brutos'!$D$12:$AH$12)</f>
        <v>8.39</v>
      </c>
      <c r="I12" s="25">
        <f>AVERAGEIF('1. Datos brutos'!$D$12:$AH$12,"&lt;=30")</f>
        <v>2.5903225806451617</v>
      </c>
      <c r="J12" s="25">
        <f>STDEV(IF('1. Datos brutos'!$D$12:$AH$12&lt;=30,'1. Datos brutos'!$D$12:$AH$12))</f>
        <v>1.8658232925815303</v>
      </c>
      <c r="K12" s="25">
        <f>MEDIAN(IF('1. Datos brutos'!$D$12:$AH$12&lt;=30,'1. Datos brutos'!$D$12:$AH$12))</f>
        <v>3.04</v>
      </c>
      <c r="L12" s="26">
        <f t="shared" si="0"/>
        <v>72.030538069772646</v>
      </c>
      <c r="M12" s="25">
        <f>PERCENTILE(IF('1. Datos brutos'!$D$12:$AH$12&lt;=30,'1. Datos brutos'!$D$12:$AH$12),0.75)-PERCENTILE(IF('1. Datos brutos'!$D$12:$AH$12&lt;=30,'1. Datos brutos'!$D$12:$AH$12),0.25)</f>
        <v>1.79</v>
      </c>
      <c r="N12" s="27">
        <f>PERCENTILE(IF('1. Datos brutos'!$D$12:$AH$12&lt;=30,'1. Datos brutos'!$D$12:$AH$12),0.25)</f>
        <v>1.7349999999999999</v>
      </c>
      <c r="O12" s="27">
        <f>PERCENTILE(IF('1. Datos brutos'!$D$12:$AH$12&lt;=30,'1. Datos brutos'!$D$12:$AH$12),0.75)</f>
        <v>3.5249999999999999</v>
      </c>
      <c r="P12" s="28">
        <f>COUNT('1. Datos brutos'!$D$12:$AH$12)</f>
        <v>31</v>
      </c>
      <c r="Q12" s="29">
        <f>COUNTIF('1. Datos brutos'!$D$12:$AH$12,"&gt;30")</f>
        <v>0</v>
      </c>
      <c r="R12" s="30">
        <f>COUNTIF('1. Datos brutos'!$D$12:$AH$12,"&lt;0")</f>
        <v>5</v>
      </c>
    </row>
    <row r="13" spans="1:18" x14ac:dyDescent="0.35">
      <c r="A13" s="3" t="s">
        <v>55</v>
      </c>
      <c r="B13" s="4" t="s">
        <v>56</v>
      </c>
      <c r="C13" s="10" t="s">
        <v>57</v>
      </c>
      <c r="D13" s="15">
        <f>AVERAGE('1. Datos brutos'!$D$13:$AH$13)</f>
        <v>10.02</v>
      </c>
      <c r="E13" s="15">
        <f>STDEV('1. Datos brutos'!$D$13:$AH$13)</f>
        <v>17.890353266495325</v>
      </c>
      <c r="F13" s="15">
        <f>MIN('1. Datos brutos'!$D$13:$AH$13)</f>
        <v>-0.49</v>
      </c>
      <c r="G13" s="16" t="str">
        <f>INDEX('1. Datos brutos'!$D$4:$AH$4,MATCH(MIN('1. Datos brutos'!$D$13:$AH$13),'1. Datos brutos'!$D$13:$AH$13,0))</f>
        <v>2015</v>
      </c>
      <c r="H13" s="15">
        <f>MAX('1. Datos brutos'!$D$13:$AH$13)</f>
        <v>89.81</v>
      </c>
      <c r="I13" s="17">
        <f>AVERAGEIF('1. Datos brutos'!$D$13:$AH$13,"&lt;=30")</f>
        <v>5.9710344827586193</v>
      </c>
      <c r="J13" s="17">
        <f>STDEV(IF('1. Datos brutos'!$D$13:$AH$13&lt;=30,'1. Datos brutos'!$D$13:$AH$13))</f>
        <v>17.890353266495325</v>
      </c>
      <c r="K13" s="17">
        <f>MEDIAN(IF('1. Datos brutos'!$D$13:$AH$13&lt;=30,'1. Datos brutos'!$D$13:$AH$13))</f>
        <v>4.0199999999999996</v>
      </c>
      <c r="L13" s="18">
        <f t="shared" si="0"/>
        <v>299.61899094962143</v>
      </c>
      <c r="M13" s="17">
        <f>PERCENTILE(IF('1. Datos brutos'!$D$13:$AH$13&lt;=30,'1. Datos brutos'!$D$13:$AH$13),0.75)-PERCENTILE(IF('1. Datos brutos'!$D$13:$AH$13&lt;=30,'1. Datos brutos'!$D$13:$AH$13),0.25)</f>
        <v>5.8100000000000005</v>
      </c>
      <c r="N13" s="19">
        <f>PERCENTILE(IF('1. Datos brutos'!$D$13:$AH$13&lt;=30,'1. Datos brutos'!$D$13:$AH$13),0.25)</f>
        <v>2.875</v>
      </c>
      <c r="O13" s="19">
        <f>PERCENTILE(IF('1. Datos brutos'!$D$13:$AH$13&lt;=30,'1. Datos brutos'!$D$13:$AH$13),0.75)</f>
        <v>8.6850000000000005</v>
      </c>
      <c r="P13" s="20">
        <f>COUNT('1. Datos brutos'!$D$13:$AH$13)</f>
        <v>31</v>
      </c>
      <c r="Q13" s="21">
        <f>COUNTIF('1. Datos brutos'!$D$13:$AH$13,"&gt;30")</f>
        <v>2</v>
      </c>
      <c r="R13" s="22">
        <f>COUNTIF('1. Datos brutos'!$D$13:$AH$13,"&lt;0")</f>
        <v>4</v>
      </c>
    </row>
    <row r="14" spans="1:18" x14ac:dyDescent="0.35">
      <c r="A14" s="7" t="s">
        <v>58</v>
      </c>
      <c r="B14" s="8" t="s">
        <v>59</v>
      </c>
      <c r="C14" s="5" t="s">
        <v>40</v>
      </c>
      <c r="D14" s="23">
        <f>AVERAGE('1. Datos brutos'!$D$14:$AH$14)</f>
        <v>1.7503225806451612</v>
      </c>
      <c r="E14" s="23">
        <f>STDEV('1. Datos brutos'!$D$14:$AH$14)</f>
        <v>1.6681236642227051</v>
      </c>
      <c r="F14" s="23">
        <f>MIN('1. Datos brutos'!$D$14:$AH$14)</f>
        <v>-0.21</v>
      </c>
      <c r="G14" s="24" t="str">
        <f>INDEX('1. Datos brutos'!$D$4:$AH$4,MATCH(MIN('1. Datos brutos'!$D$14:$AH$14),'1. Datos brutos'!$D$14:$AH$14,0))</f>
        <v>2015</v>
      </c>
      <c r="H14" s="23">
        <f>MAX('1. Datos brutos'!$D$14:$AH$14)</f>
        <v>7.12</v>
      </c>
      <c r="I14" s="25">
        <f>AVERAGEIF('1. Datos brutos'!$D$14:$AH$14,"&lt;=30")</f>
        <v>1.7503225806451612</v>
      </c>
      <c r="J14" s="25">
        <f>STDEV(IF('1. Datos brutos'!$D$14:$AH$14&lt;=30,'1. Datos brutos'!$D$14:$AH$14))</f>
        <v>1.6681236642227051</v>
      </c>
      <c r="K14" s="25">
        <f>MEDIAN(IF('1. Datos brutos'!$D$14:$AH$14&lt;=30,'1. Datos brutos'!$D$14:$AH$14))</f>
        <v>1.18</v>
      </c>
      <c r="L14" s="26">
        <f t="shared" si="0"/>
        <v>95.303784723376069</v>
      </c>
      <c r="M14" s="25">
        <f>PERCENTILE(IF('1. Datos brutos'!$D$14:$AH$14&lt;=30,'1. Datos brutos'!$D$14:$AH$14),0.75)-PERCENTILE(IF('1. Datos brutos'!$D$14:$AH$14&lt;=30,'1. Datos brutos'!$D$14:$AH$14),0.25)</f>
        <v>1.5799999999999996</v>
      </c>
      <c r="N14" s="27">
        <f>PERCENTILE(IF('1. Datos brutos'!$D$14:$AH$14&lt;=30,'1. Datos brutos'!$D$14:$AH$14),0.25)</f>
        <v>0.77</v>
      </c>
      <c r="O14" s="27">
        <f>PERCENTILE(IF('1. Datos brutos'!$D$14:$AH$14&lt;=30,'1. Datos brutos'!$D$14:$AH$14),0.75)</f>
        <v>2.3499999999999996</v>
      </c>
      <c r="P14" s="28">
        <f>COUNT('1. Datos brutos'!$D$14:$AH$14)</f>
        <v>31</v>
      </c>
      <c r="Q14" s="29">
        <f>COUNTIF('1. Datos brutos'!$D$14:$AH$14,"&gt;30")</f>
        <v>0</v>
      </c>
      <c r="R14" s="30">
        <f>COUNTIF('1. Datos brutos'!$D$14:$AH$14,"&lt;0")</f>
        <v>1</v>
      </c>
    </row>
    <row r="15" spans="1:18" x14ac:dyDescent="0.35">
      <c r="A15" s="3" t="s">
        <v>60</v>
      </c>
      <c r="B15" s="4" t="s">
        <v>61</v>
      </c>
      <c r="C15" s="5" t="s">
        <v>40</v>
      </c>
      <c r="D15" s="15">
        <f>AVERAGE('1. Datos brutos'!$D$15:$AH$15)</f>
        <v>1.6325806451612901</v>
      </c>
      <c r="E15" s="15">
        <f>STDEV('1. Datos brutos'!$D$15:$AH$15)</f>
        <v>1.1452393279483426</v>
      </c>
      <c r="F15" s="15">
        <f>MIN('1. Datos brutos'!$D$15:$AH$15)</f>
        <v>0.04</v>
      </c>
      <c r="G15" s="16" t="str">
        <f>INDEX('1. Datos brutos'!$D$4:$AH$4,MATCH(MIN('1. Datos brutos'!$D$15:$AH$15),'1. Datos brutos'!$D$15:$AH$15,0))</f>
        <v>2015</v>
      </c>
      <c r="H15" s="15">
        <f>MAX('1. Datos brutos'!$D$15:$AH$15)</f>
        <v>5.22</v>
      </c>
      <c r="I15" s="17">
        <f>AVERAGEIF('1. Datos brutos'!$D$15:$AH$15,"&lt;=30")</f>
        <v>1.6325806451612901</v>
      </c>
      <c r="J15" s="17">
        <f>STDEV(IF('1. Datos brutos'!$D$15:$AH$15&lt;=30,'1. Datos brutos'!$D$15:$AH$15))</f>
        <v>1.1452393279483426</v>
      </c>
      <c r="K15" s="17">
        <f>MEDIAN(IF('1. Datos brutos'!$D$15:$AH$15&lt;=30,'1. Datos brutos'!$D$15:$AH$15))</f>
        <v>1.66</v>
      </c>
      <c r="L15" s="18">
        <f t="shared" si="0"/>
        <v>70.149020285316382</v>
      </c>
      <c r="M15" s="17">
        <f>PERCENTILE(IF('1. Datos brutos'!$D$15:$AH$15&lt;=30,'1. Datos brutos'!$D$15:$AH$15),0.75)-PERCENTILE(IF('1. Datos brutos'!$D$15:$AH$15&lt;=30,'1. Datos brutos'!$D$15:$AH$15),0.25)</f>
        <v>1.0199999999999998</v>
      </c>
      <c r="N15" s="19">
        <f>PERCENTILE(IF('1. Datos brutos'!$D$15:$AH$15&lt;=30,'1. Datos brutos'!$D$15:$AH$15),0.25)</f>
        <v>0.94500000000000006</v>
      </c>
      <c r="O15" s="19">
        <f>PERCENTILE(IF('1. Datos brutos'!$D$15:$AH$15&lt;=30,'1. Datos brutos'!$D$15:$AH$15),0.75)</f>
        <v>1.9649999999999999</v>
      </c>
      <c r="P15" s="20">
        <f>COUNT('1. Datos brutos'!$D$15:$AH$15)</f>
        <v>31</v>
      </c>
      <c r="Q15" s="21">
        <f>COUNTIF('1. Datos brutos'!$D$15:$AH$15,"&gt;30")</f>
        <v>0</v>
      </c>
      <c r="R15" s="22">
        <f>COUNTIF('1. Datos brutos'!$D$15:$AH$15,"&lt;0")</f>
        <v>0</v>
      </c>
    </row>
    <row r="16" spans="1:18" x14ac:dyDescent="0.35">
      <c r="A16" s="7" t="s">
        <v>62</v>
      </c>
      <c r="B16" s="8" t="s">
        <v>63</v>
      </c>
      <c r="C16" s="5" t="s">
        <v>40</v>
      </c>
      <c r="D16" s="23">
        <f>AVERAGE('1. Datos brutos'!$D$16:$AH$16)</f>
        <v>3.443870967741935</v>
      </c>
      <c r="E16" s="23">
        <f>STDEV('1. Datos brutos'!$D$16:$AH$16)</f>
        <v>3.7518863499306176</v>
      </c>
      <c r="F16" s="23">
        <f>MIN('1. Datos brutos'!$D$16:$AH$16)</f>
        <v>-1.74</v>
      </c>
      <c r="G16" s="24" t="str">
        <f>INDEX('1. Datos brutos'!$D$4:$AH$4,MATCH(MIN('1. Datos brutos'!$D$16:$AH$16),'1. Datos brutos'!$D$16:$AH$16,0))</f>
        <v>2015</v>
      </c>
      <c r="H16" s="23">
        <f>MAX('1. Datos brutos'!$D$16:$AH$16)</f>
        <v>14.41</v>
      </c>
      <c r="I16" s="25">
        <f>AVERAGEIF('1. Datos brutos'!$D$16:$AH$16,"&lt;=30")</f>
        <v>3.443870967741935</v>
      </c>
      <c r="J16" s="25">
        <f>STDEV(IF('1. Datos brutos'!$D$16:$AH$16&lt;=30,'1. Datos brutos'!$D$16:$AH$16))</f>
        <v>3.7518863499306176</v>
      </c>
      <c r="K16" s="25">
        <f>MEDIAN(IF('1. Datos brutos'!$D$16:$AH$16&lt;=30,'1. Datos brutos'!$D$16:$AH$16))</f>
        <v>3.2</v>
      </c>
      <c r="L16" s="26">
        <f t="shared" si="0"/>
        <v>108.94387115759569</v>
      </c>
      <c r="M16" s="25">
        <f>PERCENTILE(IF('1. Datos brutos'!$D$16:$AH$16&lt;=30,'1. Datos brutos'!$D$16:$AH$16),0.75)-PERCENTILE(IF('1. Datos brutos'!$D$16:$AH$16&lt;=30,'1. Datos brutos'!$D$16:$AH$16),0.25)</f>
        <v>3.2649999999999997</v>
      </c>
      <c r="N16" s="27">
        <f>PERCENTILE(IF('1. Datos brutos'!$D$16:$AH$16&lt;=30,'1. Datos brutos'!$D$16:$AH$16),0.25)</f>
        <v>1.165</v>
      </c>
      <c r="O16" s="27">
        <f>PERCENTILE(IF('1. Datos brutos'!$D$16:$AH$16&lt;=30,'1. Datos brutos'!$D$16:$AH$16),0.75)</f>
        <v>4.43</v>
      </c>
      <c r="P16" s="28">
        <f>COUNT('1. Datos brutos'!$D$16:$AH$16)</f>
        <v>31</v>
      </c>
      <c r="Q16" s="29">
        <f>COUNTIF('1. Datos brutos'!$D$16:$AH$16,"&gt;30")</f>
        <v>0</v>
      </c>
      <c r="R16" s="30">
        <f>COUNTIF('1. Datos brutos'!$D$16:$AH$16,"&lt;0")</f>
        <v>5</v>
      </c>
    </row>
    <row r="17" spans="1:18" x14ac:dyDescent="0.35">
      <c r="A17" s="3" t="s">
        <v>64</v>
      </c>
      <c r="B17" s="4" t="s">
        <v>65</v>
      </c>
      <c r="C17" s="5" t="s">
        <v>40</v>
      </c>
      <c r="D17" s="15">
        <f>AVERAGE('1. Datos brutos'!$D$17:$AH$17)</f>
        <v>2.1574193548387091</v>
      </c>
      <c r="E17" s="15">
        <f>STDEV('1. Datos brutos'!$D$17:$AH$17)</f>
        <v>2.4260488697220368</v>
      </c>
      <c r="F17" s="15">
        <f>MIN('1. Datos brutos'!$D$17:$AH$17)</f>
        <v>-4.45</v>
      </c>
      <c r="G17" s="16" t="str">
        <f>INDEX('1. Datos brutos'!$D$4:$AH$4,MATCH(MIN('1. Datos brutos'!$D$17:$AH$17),'1. Datos brutos'!$D$17:$AH$17,0))</f>
        <v>2009</v>
      </c>
      <c r="H17" s="15">
        <f>MAX('1. Datos brutos'!$D$17:$AH$17)</f>
        <v>7.83</v>
      </c>
      <c r="I17" s="17">
        <f>AVERAGEIF('1. Datos brutos'!$D$17:$AH$17,"&lt;=30")</f>
        <v>2.1574193548387091</v>
      </c>
      <c r="J17" s="17">
        <f>STDEV(IF('1. Datos brutos'!$D$17:$AH$17&lt;=30,'1. Datos brutos'!$D$17:$AH$17))</f>
        <v>2.4260488697220368</v>
      </c>
      <c r="K17" s="17">
        <f>MEDIAN(IF('1. Datos brutos'!$D$17:$AH$17&lt;=30,'1. Datos brutos'!$D$17:$AH$17))</f>
        <v>2.1800000000000002</v>
      </c>
      <c r="L17" s="18">
        <f t="shared" si="0"/>
        <v>112.45142787288151</v>
      </c>
      <c r="M17" s="17">
        <f>PERCENTILE(IF('1. Datos brutos'!$D$17:$AH$17&lt;=30,'1. Datos brutos'!$D$17:$AH$17),0.75)-PERCENTILE(IF('1. Datos brutos'!$D$17:$AH$17&lt;=30,'1. Datos brutos'!$D$17:$AH$17),0.25)</f>
        <v>3.2199999999999998</v>
      </c>
      <c r="N17" s="19">
        <f>PERCENTILE(IF('1. Datos brutos'!$D$17:$AH$17&lt;=30,'1. Datos brutos'!$D$17:$AH$17),0.25)</f>
        <v>0.495</v>
      </c>
      <c r="O17" s="19">
        <f>PERCENTILE(IF('1. Datos brutos'!$D$17:$AH$17&lt;=30,'1. Datos brutos'!$D$17:$AH$17),0.75)</f>
        <v>3.7149999999999999</v>
      </c>
      <c r="P17" s="20">
        <f>COUNT('1. Datos brutos'!$D$17:$AH$17)</f>
        <v>31</v>
      </c>
      <c r="Q17" s="21">
        <f>COUNTIF('1. Datos brutos'!$D$17:$AH$17,"&gt;30")</f>
        <v>0</v>
      </c>
      <c r="R17" s="22">
        <f>COUNTIF('1. Datos brutos'!$D$17:$AH$17,"&lt;0")</f>
        <v>4</v>
      </c>
    </row>
    <row r="18" spans="1:18" x14ac:dyDescent="0.35">
      <c r="A18" s="7" t="s">
        <v>66</v>
      </c>
      <c r="B18" s="8" t="s">
        <v>67</v>
      </c>
      <c r="C18" s="5" t="s">
        <v>40</v>
      </c>
      <c r="D18" s="23">
        <f>AVERAGE('1. Datos brutos'!$D$18:$AH$18)</f>
        <v>2.3738709677419352</v>
      </c>
      <c r="E18" s="23">
        <f>STDEV('1. Datos brutos'!$D$18:$AH$18)</f>
        <v>1.8227903105209426</v>
      </c>
      <c r="F18" s="23">
        <f>MIN('1. Datos brutos'!$D$18:$AH$18)</f>
        <v>-0.14000000000000001</v>
      </c>
      <c r="G18" s="24" t="str">
        <f>INDEX('1. Datos brutos'!$D$4:$AH$4,MATCH(MIN('1. Datos brutos'!$D$18:$AH$18),'1. Datos brutos'!$D$18:$AH$18,0))</f>
        <v>2020</v>
      </c>
      <c r="H18" s="23">
        <f>MAX('1. Datos brutos'!$D$18:$AH$18)</f>
        <v>8.1999999999999993</v>
      </c>
      <c r="I18" s="25">
        <f>AVERAGEIF('1. Datos brutos'!$D$18:$AH$18,"&lt;=30")</f>
        <v>2.3738709677419352</v>
      </c>
      <c r="J18" s="25">
        <f>STDEV(IF('1. Datos brutos'!$D$18:$AH$18&lt;=30,'1. Datos brutos'!$D$18:$AH$18))</f>
        <v>1.8227903105209426</v>
      </c>
      <c r="K18" s="25">
        <f>MEDIAN(IF('1. Datos brutos'!$D$18:$AH$18&lt;=30,'1. Datos brutos'!$D$18:$AH$18))</f>
        <v>2.04</v>
      </c>
      <c r="L18" s="26">
        <f t="shared" si="0"/>
        <v>76.785568183379851</v>
      </c>
      <c r="M18" s="25">
        <f>PERCENTILE(IF('1. Datos brutos'!$D$18:$AH$18&lt;=30,'1. Datos brutos'!$D$18:$AH$18),0.75)-PERCENTILE(IF('1. Datos brutos'!$D$18:$AH$18&lt;=30,'1. Datos brutos'!$D$18:$AH$18),0.25)</f>
        <v>1.69</v>
      </c>
      <c r="N18" s="27">
        <f>PERCENTILE(IF('1. Datos brutos'!$D$18:$AH$18&lt;=30,'1. Datos brutos'!$D$18:$AH$18),0.25)</f>
        <v>1.2250000000000001</v>
      </c>
      <c r="O18" s="27">
        <f>PERCENTILE(IF('1. Datos brutos'!$D$18:$AH$18&lt;=30,'1. Datos brutos'!$D$18:$AH$18),0.75)</f>
        <v>2.915</v>
      </c>
      <c r="P18" s="28">
        <f>COUNT('1. Datos brutos'!$D$18:$AH$18)</f>
        <v>31</v>
      </c>
      <c r="Q18" s="29">
        <f>COUNTIF('1. Datos brutos'!$D$18:$AH$18,"&gt;30")</f>
        <v>0</v>
      </c>
      <c r="R18" s="30">
        <f>COUNTIF('1. Datos brutos'!$D$18:$AH$18,"&lt;0")</f>
        <v>2</v>
      </c>
    </row>
    <row r="19" spans="1:18" x14ac:dyDescent="0.35">
      <c r="A19" s="3" t="s">
        <v>68</v>
      </c>
      <c r="B19" s="4" t="s">
        <v>69</v>
      </c>
      <c r="C19" s="10" t="s">
        <v>57</v>
      </c>
      <c r="D19" s="15">
        <f>AVERAGE('1. Datos brutos'!$D$19:$AH$19)</f>
        <v>9.8690322580645162</v>
      </c>
      <c r="E19" s="15">
        <f>STDEV('1. Datos brutos'!$D$19:$AH$19)</f>
        <v>20.103988883608597</v>
      </c>
      <c r="F19" s="15">
        <f>MIN('1. Datos brutos'!$D$19:$AH$19)</f>
        <v>-1.08</v>
      </c>
      <c r="G19" s="16" t="str">
        <f>INDEX('1. Datos brutos'!$D$4:$AH$4,MATCH(MIN('1. Datos brutos'!$D$19:$AH$19),'1. Datos brutos'!$D$19:$AH$19,0))</f>
        <v>2010</v>
      </c>
      <c r="H19" s="15">
        <f>MAX('1. Datos brutos'!$D$19:$AH$19)</f>
        <v>108.99</v>
      </c>
      <c r="I19" s="17">
        <f>AVERAGEIF('1. Datos brutos'!$D$19:$AH$19,"&lt;=30")</f>
        <v>5.552758620689656</v>
      </c>
      <c r="J19" s="17">
        <f>STDEV(IF('1. Datos brutos'!$D$19:$AH$19&lt;=30,'1. Datos brutos'!$D$19:$AH$19))</f>
        <v>20.103988883608597</v>
      </c>
      <c r="K19" s="17">
        <f>MEDIAN(IF('1. Datos brutos'!$D$19:$AH$19&lt;=30,'1. Datos brutos'!$D$19:$AH$19))</f>
        <v>3.28</v>
      </c>
      <c r="L19" s="18">
        <f t="shared" si="0"/>
        <v>362.05407540498618</v>
      </c>
      <c r="M19" s="17">
        <f>PERCENTILE(IF('1. Datos brutos'!$D$19:$AH$19&lt;=30,'1. Datos brutos'!$D$19:$AH$19),0.75)-PERCENTILE(IF('1. Datos brutos'!$D$19:$AH$19&lt;=30,'1. Datos brutos'!$D$19:$AH$19),0.25)</f>
        <v>6.3850000000000007</v>
      </c>
      <c r="N19" s="19">
        <f>PERCENTILE(IF('1. Datos brutos'!$D$19:$AH$19&lt;=30,'1. Datos brutos'!$D$19:$AH$19),0.25)</f>
        <v>2.3099999999999996</v>
      </c>
      <c r="O19" s="19">
        <f>PERCENTILE(IF('1. Datos brutos'!$D$19:$AH$19&lt;=30,'1. Datos brutos'!$D$19:$AH$19),0.75)</f>
        <v>8.6950000000000003</v>
      </c>
      <c r="P19" s="20">
        <f>COUNT('1. Datos brutos'!$D$19:$AH$19)</f>
        <v>31</v>
      </c>
      <c r="Q19" s="21">
        <f>COUNTIF('1. Datos brutos'!$D$19:$AH$19,"&gt;30")</f>
        <v>2</v>
      </c>
      <c r="R19" s="22">
        <f>COUNTIF('1. Datos brutos'!$D$19:$AH$19,"&lt;0")</f>
        <v>2</v>
      </c>
    </row>
    <row r="20" spans="1:18" x14ac:dyDescent="0.35">
      <c r="A20" s="7" t="s">
        <v>70</v>
      </c>
      <c r="B20" s="8" t="s">
        <v>71</v>
      </c>
      <c r="C20" s="10" t="s">
        <v>57</v>
      </c>
      <c r="D20" s="23">
        <f>AVERAGE('1. Datos brutos'!$D$20:$AH$20)</f>
        <v>20.807096774193557</v>
      </c>
      <c r="E20" s="23">
        <f>STDEV('1. Datos brutos'!$D$20:$AH$20)</f>
        <v>73.779753329015165</v>
      </c>
      <c r="F20" s="23">
        <f>MIN('1. Datos brutos'!$D$20:$AH$20)</f>
        <v>-1.1299999999999999</v>
      </c>
      <c r="G20" s="24" t="str">
        <f>INDEX('1. Datos brutos'!$D$4:$AH$4,MATCH(MIN('1. Datos brutos'!$D$20:$AH$20),'1. Datos brutos'!$D$20:$AH$20,0))</f>
        <v>2003</v>
      </c>
      <c r="H20" s="23">
        <f>MAX('1. Datos brutos'!$D$20:$AH$20)</f>
        <v>410.45</v>
      </c>
      <c r="I20" s="25">
        <f>AVERAGEIF('1. Datos brutos'!$D$20:$AH$20,"&lt;=30")</f>
        <v>4.3810714285714285</v>
      </c>
      <c r="J20" s="25">
        <f>STDEV(IF('1. Datos brutos'!$D$20:$AH$20&lt;=30,'1. Datos brutos'!$D$20:$AH$20))</f>
        <v>73.779753329015165</v>
      </c>
      <c r="K20" s="25">
        <f>MEDIAN(IF('1. Datos brutos'!$D$20:$AH$20&lt;=30,'1. Datos brutos'!$D$20:$AH$20))</f>
        <v>3.09</v>
      </c>
      <c r="L20" s="26">
        <f t="shared" si="0"/>
        <v>1684.0573026921209</v>
      </c>
      <c r="M20" s="25">
        <f>PERCENTILE(IF('1. Datos brutos'!$D$20:$AH$20&lt;=30,'1. Datos brutos'!$D$20:$AH$20),0.75)-PERCENTILE(IF('1. Datos brutos'!$D$20:$AH$20&lt;=30,'1. Datos brutos'!$D$20:$AH$20),0.25)</f>
        <v>6.2050000000000001</v>
      </c>
      <c r="N20" s="27">
        <f>PERCENTILE(IF('1. Datos brutos'!$D$20:$AH$20&lt;=30,'1. Datos brutos'!$D$20:$AH$20),0.25)</f>
        <v>1.105</v>
      </c>
      <c r="O20" s="27">
        <f>PERCENTILE(IF('1. Datos brutos'!$D$20:$AH$20&lt;=30,'1. Datos brutos'!$D$20:$AH$20),0.75)</f>
        <v>7.3100000000000005</v>
      </c>
      <c r="P20" s="28">
        <f>COUNT('1. Datos brutos'!$D$20:$AH$20)</f>
        <v>31</v>
      </c>
      <c r="Q20" s="29">
        <f>COUNTIF('1. Datos brutos'!$D$20:$AH$20,"&gt;30")</f>
        <v>3</v>
      </c>
      <c r="R20" s="30">
        <f>COUNTIF('1. Datos brutos'!$D$20:$AH$20,"&lt;0")</f>
        <v>2</v>
      </c>
    </row>
    <row r="21" spans="1:18" x14ac:dyDescent="0.35">
      <c r="A21" s="3" t="s">
        <v>72</v>
      </c>
      <c r="B21" s="4" t="s">
        <v>73</v>
      </c>
      <c r="C21" s="5" t="s">
        <v>40</v>
      </c>
      <c r="D21" s="15">
        <f>AVERAGE('1. Datos brutos'!$D$21:$AH$21)</f>
        <v>2.1122580645161291</v>
      </c>
      <c r="E21" s="15">
        <f>STDEV('1. Datos brutos'!$D$21:$AH$21)</f>
        <v>1.2397841470122117</v>
      </c>
      <c r="F21" s="15">
        <f>MIN('1. Datos brutos'!$D$21:$AH$21)</f>
        <v>0.28999999999999998</v>
      </c>
      <c r="G21" s="16" t="str">
        <f>INDEX('1. Datos brutos'!$D$4:$AH$4,MATCH(MIN('1. Datos brutos'!$D$21:$AH$21),'1. Datos brutos'!$D$21:$AH$21,0))</f>
        <v>2016</v>
      </c>
      <c r="H21" s="15">
        <f>MAX('1. Datos brutos'!$D$21:$AH$21)</f>
        <v>6.34</v>
      </c>
      <c r="I21" s="17">
        <f>AVERAGEIF('1. Datos brutos'!$D$21:$AH$21,"&lt;=30")</f>
        <v>2.1122580645161291</v>
      </c>
      <c r="J21" s="17">
        <f>STDEV(IF('1. Datos brutos'!$D$21:$AH$21&lt;=30,'1. Datos brutos'!$D$21:$AH$21))</f>
        <v>1.2397841470122117</v>
      </c>
      <c r="K21" s="17">
        <f>MEDIAN(IF('1. Datos brutos'!$D$21:$AH$21&lt;=30,'1. Datos brutos'!$D$21:$AH$21))</f>
        <v>2.0699999999999998</v>
      </c>
      <c r="L21" s="18">
        <f t="shared" si="0"/>
        <v>58.694729012490164</v>
      </c>
      <c r="M21" s="17">
        <f>PERCENTILE(IF('1. Datos brutos'!$D$21:$AH$21&lt;=30,'1. Datos brutos'!$D$21:$AH$21),0.75)-PERCENTILE(IF('1. Datos brutos'!$D$21:$AH$21&lt;=30,'1. Datos brutos'!$D$21:$AH$21),0.25)</f>
        <v>1.3850000000000002</v>
      </c>
      <c r="N21" s="19">
        <f>PERCENTILE(IF('1. Datos brutos'!$D$21:$AH$21&lt;=30,'1. Datos brutos'!$D$21:$AH$21),0.25)</f>
        <v>1.2749999999999999</v>
      </c>
      <c r="O21" s="19">
        <f>PERCENTILE(IF('1. Datos brutos'!$D$21:$AH$21&lt;=30,'1. Datos brutos'!$D$21:$AH$21),0.75)</f>
        <v>2.66</v>
      </c>
      <c r="P21" s="20">
        <f>COUNT('1. Datos brutos'!$D$21:$AH$21)</f>
        <v>31</v>
      </c>
      <c r="Q21" s="21">
        <f>COUNTIF('1. Datos brutos'!$D$21:$AH$21,"&gt;30")</f>
        <v>0</v>
      </c>
      <c r="R21" s="22">
        <f>COUNTIF('1. Datos brutos'!$D$21:$AH$21,"&lt;0")</f>
        <v>0</v>
      </c>
    </row>
    <row r="22" spans="1:18" x14ac:dyDescent="0.35">
      <c r="A22" s="7" t="s">
        <v>74</v>
      </c>
      <c r="B22" s="8" t="s">
        <v>75</v>
      </c>
      <c r="C22" s="5" t="s">
        <v>40</v>
      </c>
      <c r="D22" s="23">
        <f>AVERAGE('1. Datos brutos'!$D$22:$AH$22)</f>
        <v>2.4180645161290326</v>
      </c>
      <c r="E22" s="23">
        <f>STDEV('1. Datos brutos'!$D$22:$AH$22)</f>
        <v>1.3910174198641765</v>
      </c>
      <c r="F22" s="23">
        <f>MIN('1. Datos brutos'!$D$22:$AH$22)</f>
        <v>0.31</v>
      </c>
      <c r="G22" s="24" t="str">
        <f>INDEX('1. Datos brutos'!$D$4:$AH$4,MATCH(MIN('1. Datos brutos'!$D$22:$AH$22),'1. Datos brutos'!$D$22:$AH$22,0))</f>
        <v>2014</v>
      </c>
      <c r="H22" s="23">
        <f>MAX('1. Datos brutos'!$D$22:$AH$22)</f>
        <v>6.15</v>
      </c>
      <c r="I22" s="25">
        <f>AVERAGEIF('1. Datos brutos'!$D$22:$AH$22,"&lt;=30")</f>
        <v>2.4180645161290326</v>
      </c>
      <c r="J22" s="25">
        <f>STDEV(IF('1. Datos brutos'!$D$22:$AH$22&lt;=30,'1. Datos brutos'!$D$22:$AH$22))</f>
        <v>1.3910174198641765</v>
      </c>
      <c r="K22" s="25">
        <f>MEDIAN(IF('1. Datos brutos'!$D$22:$AH$22&lt;=30,'1. Datos brutos'!$D$22:$AH$22))</f>
        <v>2.19</v>
      </c>
      <c r="L22" s="26">
        <f t="shared" si="0"/>
        <v>57.526067256922971</v>
      </c>
      <c r="M22" s="25">
        <f>PERCENTILE(IF('1. Datos brutos'!$D$22:$AH$22&lt;=30,'1. Datos brutos'!$D$22:$AH$22),0.75)-PERCENTILE(IF('1. Datos brutos'!$D$22:$AH$22&lt;=30,'1. Datos brutos'!$D$22:$AH$22),0.25)</f>
        <v>1.6549999999999998</v>
      </c>
      <c r="N22" s="27">
        <f>PERCENTILE(IF('1. Datos brutos'!$D$22:$AH$22&lt;=30,'1. Datos brutos'!$D$22:$AH$22),0.25)</f>
        <v>1.33</v>
      </c>
      <c r="O22" s="27">
        <f>PERCENTILE(IF('1. Datos brutos'!$D$22:$AH$22&lt;=30,'1. Datos brutos'!$D$22:$AH$22),0.75)</f>
        <v>2.9849999999999999</v>
      </c>
      <c r="P22" s="28">
        <f>COUNT('1. Datos brutos'!$D$22:$AH$22)</f>
        <v>31</v>
      </c>
      <c r="Q22" s="29">
        <f>COUNTIF('1. Datos brutos'!$D$22:$AH$22,"&gt;30")</f>
        <v>0</v>
      </c>
      <c r="R22" s="30">
        <f>COUNTIF('1. Datos brutos'!$D$22:$AH$22,"&lt;0")</f>
        <v>0</v>
      </c>
    </row>
    <row r="23" spans="1:18" x14ac:dyDescent="0.35">
      <c r="A23" s="3" t="s">
        <v>76</v>
      </c>
      <c r="B23" s="4" t="s">
        <v>77</v>
      </c>
      <c r="C23" s="5" t="s">
        <v>40</v>
      </c>
      <c r="D23" s="15">
        <f>AVERAGE('1. Datos brutos'!$D$23:$AH$23)</f>
        <v>2.2861290322580645</v>
      </c>
      <c r="E23" s="15">
        <f>STDEV('1. Datos brutos'!$D$23:$AH$23)</f>
        <v>1.6697937545684194</v>
      </c>
      <c r="F23" s="15">
        <f>MIN('1. Datos brutos'!$D$23:$AH$23)</f>
        <v>0.32</v>
      </c>
      <c r="G23" s="16" t="str">
        <f>INDEX('1. Datos brutos'!$D$4:$AH$4,MATCH(MIN('1. Datos brutos'!$D$23:$AH$23),'1. Datos brutos'!$D$23:$AH$23,0))</f>
        <v>2016</v>
      </c>
      <c r="H23" s="15">
        <f>MAX('1. Datos brutos'!$D$23:$AH$23)</f>
        <v>10</v>
      </c>
      <c r="I23" s="17">
        <f>AVERAGEIF('1. Datos brutos'!$D$23:$AH$23,"&lt;=30")</f>
        <v>2.2861290322580645</v>
      </c>
      <c r="J23" s="17">
        <f>STDEV(IF('1. Datos brutos'!$D$23:$AH$23&lt;=30,'1. Datos brutos'!$D$23:$AH$23))</f>
        <v>1.6697937545684194</v>
      </c>
      <c r="K23" s="17">
        <f>MEDIAN(IF('1. Datos brutos'!$D$23:$AH$23&lt;=30,'1. Datos brutos'!$D$23:$AH$23))</f>
        <v>2.11</v>
      </c>
      <c r="L23" s="18">
        <f t="shared" si="0"/>
        <v>73.040223496008181</v>
      </c>
      <c r="M23" s="17">
        <f>PERCENTILE(IF('1. Datos brutos'!$D$23:$AH$23&lt;=30,'1. Datos brutos'!$D$23:$AH$23),0.75)-PERCENTILE(IF('1. Datos brutos'!$D$23:$AH$23&lt;=30,'1. Datos brutos'!$D$23:$AH$23),0.25)</f>
        <v>1.2149999999999999</v>
      </c>
      <c r="N23" s="19">
        <f>PERCENTILE(IF('1. Datos brutos'!$D$23:$AH$23&lt;=30,'1. Datos brutos'!$D$23:$AH$23),0.25)</f>
        <v>1.33</v>
      </c>
      <c r="O23" s="19">
        <f>PERCENTILE(IF('1. Datos brutos'!$D$23:$AH$23&lt;=30,'1. Datos brutos'!$D$23:$AH$23),0.75)</f>
        <v>2.5449999999999999</v>
      </c>
      <c r="P23" s="20">
        <f>COUNT('1. Datos brutos'!$D$23:$AH$23)</f>
        <v>31</v>
      </c>
      <c r="Q23" s="21">
        <f>COUNTIF('1. Datos brutos'!$D$23:$AH$23,"&gt;30")</f>
        <v>0</v>
      </c>
      <c r="R23" s="22">
        <f>COUNTIF('1. Datos brutos'!$D$23:$AH$23,"&lt;0")</f>
        <v>0</v>
      </c>
    </row>
    <row r="24" spans="1:18" x14ac:dyDescent="0.35">
      <c r="A24" s="7" t="s">
        <v>78</v>
      </c>
      <c r="B24" s="8" t="s">
        <v>79</v>
      </c>
      <c r="C24" s="5" t="s">
        <v>40</v>
      </c>
      <c r="D24" s="23">
        <f>AVERAGE('1. Datos brutos'!$D$24:$AH$24)</f>
        <v>2.5080645161290316</v>
      </c>
      <c r="E24" s="23">
        <f>STDEV('1. Datos brutos'!$D$24:$AH$24)</f>
        <v>1.9813554608816646</v>
      </c>
      <c r="F24" s="23">
        <f>MIN('1. Datos brutos'!$D$24:$AH$24)</f>
        <v>-0.84</v>
      </c>
      <c r="G24" s="24" t="str">
        <f>INDEX('1. Datos brutos'!$D$4:$AH$4,MATCH(MIN('1. Datos brutos'!$D$24:$AH$24),'1. Datos brutos'!$D$24:$AH$24,0))</f>
        <v>2009</v>
      </c>
      <c r="H24" s="23">
        <f>MAX('1. Datos brutos'!$D$24:$AH$24)</f>
        <v>7.83</v>
      </c>
      <c r="I24" s="25">
        <f>AVERAGEIF('1. Datos brutos'!$D$24:$AH$24,"&lt;=30")</f>
        <v>2.5080645161290316</v>
      </c>
      <c r="J24" s="25">
        <f>STDEV(IF('1. Datos brutos'!$D$24:$AH$24&lt;=30,'1. Datos brutos'!$D$24:$AH$24))</f>
        <v>1.9813554608816646</v>
      </c>
      <c r="K24" s="25">
        <f>MEDIAN(IF('1. Datos brutos'!$D$24:$AH$24&lt;=30,'1. Datos brutos'!$D$24:$AH$24))</f>
        <v>2.4500000000000002</v>
      </c>
      <c r="L24" s="26">
        <f t="shared" si="0"/>
        <v>78.99938172004066</v>
      </c>
      <c r="M24" s="25">
        <f>PERCENTILE(IF('1. Datos brutos'!$D$24:$AH$24&lt;=30,'1. Datos brutos'!$D$24:$AH$24),0.75)-PERCENTILE(IF('1. Datos brutos'!$D$24:$AH$24&lt;=30,'1. Datos brutos'!$D$24:$AH$24),0.25)</f>
        <v>2.2800000000000002</v>
      </c>
      <c r="N24" s="27">
        <f>PERCENTILE(IF('1. Datos brutos'!$D$24:$AH$24&lt;=30,'1. Datos brutos'!$D$24:$AH$24),0.25)</f>
        <v>1.1299999999999999</v>
      </c>
      <c r="O24" s="27">
        <f>PERCENTILE(IF('1. Datos brutos'!$D$24:$AH$24&lt;=30,'1. Datos brutos'!$D$24:$AH$24),0.75)</f>
        <v>3.41</v>
      </c>
      <c r="P24" s="28">
        <f>COUNT('1. Datos brutos'!$D$24:$AH$24)</f>
        <v>31</v>
      </c>
      <c r="Q24" s="29">
        <f>COUNTIF('1. Datos brutos'!$D$24:$AH$24,"&gt;30")</f>
        <v>0</v>
      </c>
      <c r="R24" s="30">
        <f>COUNTIF('1. Datos brutos'!$D$24:$AH$24,"&lt;0")</f>
        <v>3</v>
      </c>
    </row>
    <row r="25" spans="1:18" x14ac:dyDescent="0.35">
      <c r="A25" s="3" t="s">
        <v>80</v>
      </c>
      <c r="B25" s="4" t="s">
        <v>81</v>
      </c>
      <c r="C25" s="11" t="s">
        <v>81</v>
      </c>
      <c r="D25" s="15">
        <f>AVERAGE('1. Datos brutos'!$D$25:$AH$25)</f>
        <v>2.5432258064516127</v>
      </c>
      <c r="E25" s="15">
        <f>STDEV('1. Datos brutos'!$D$25:$AH$25)</f>
        <v>1.4724500831307763</v>
      </c>
      <c r="F25" s="15">
        <f>MIN('1. Datos brutos'!$D$25:$AH$25)</f>
        <v>-0.36</v>
      </c>
      <c r="G25" s="16" t="str">
        <f>INDEX('1. Datos brutos'!$D$4:$AH$4,MATCH(MIN('1. Datos brutos'!$D$25:$AH$25),'1. Datos brutos'!$D$25:$AH$25,0))</f>
        <v>2009</v>
      </c>
      <c r="H25" s="15">
        <f>MAX('1. Datos brutos'!$D$25:$AH$25)</f>
        <v>8</v>
      </c>
      <c r="I25" s="17">
        <f>AVERAGEIF('1. Datos brutos'!$D$25:$AH$25,"&lt;=30")</f>
        <v>2.5432258064516127</v>
      </c>
      <c r="J25" s="17">
        <f>STDEV(IF('1. Datos brutos'!$D$25:$AH$25&lt;=30,'1. Datos brutos'!$D$25:$AH$25))</f>
        <v>1.4724500831307763</v>
      </c>
      <c r="K25" s="17">
        <f>MEDIAN(IF('1. Datos brutos'!$D$25:$AH$25&lt;=30,'1. Datos brutos'!$D$25:$AH$25))</f>
        <v>2.44</v>
      </c>
      <c r="L25" s="18">
        <f t="shared" si="0"/>
        <v>57.896946444766705</v>
      </c>
      <c r="M25" s="17">
        <f>PERCENTILE(IF('1. Datos brutos'!$D$25:$AH$25&lt;=30,'1. Datos brutos'!$D$25:$AH$25),0.75)-PERCENTILE(IF('1. Datos brutos'!$D$25:$AH$25&lt;=30,'1. Datos brutos'!$D$25:$AH$25),0.25)</f>
        <v>1.4250000000000003</v>
      </c>
      <c r="N25" s="19">
        <f>PERCENTILE(IF('1. Datos brutos'!$D$25:$AH$25&lt;=30,'1. Datos brutos'!$D$25:$AH$25),0.25)</f>
        <v>1.63</v>
      </c>
      <c r="O25" s="19">
        <f>PERCENTILE(IF('1. Datos brutos'!$D$25:$AH$25&lt;=30,'1. Datos brutos'!$D$25:$AH$25),0.75)</f>
        <v>3.0550000000000002</v>
      </c>
      <c r="P25" s="20">
        <f>COUNT('1. Datos brutos'!$D$25:$AH$25)</f>
        <v>31</v>
      </c>
      <c r="Q25" s="21">
        <f>COUNTIF('1. Datos brutos'!$D$25:$AH$25,"&gt;30")</f>
        <v>0</v>
      </c>
      <c r="R25" s="22">
        <f>COUNTIF('1. Datos brutos'!$D$25:$AH$25,"&lt;0")</f>
        <v>1</v>
      </c>
    </row>
    <row r="26" spans="1:18" x14ac:dyDescent="0.35">
      <c r="A26" s="7" t="s">
        <v>82</v>
      </c>
      <c r="B26" s="8" t="s">
        <v>83</v>
      </c>
      <c r="C26" s="11" t="s">
        <v>83</v>
      </c>
      <c r="D26" s="23">
        <f>AVERAGE('1. Datos brutos'!$D$26:$AH$26)</f>
        <v>2.3990322580645169</v>
      </c>
      <c r="E26" s="23">
        <f>STDEV('1. Datos brutos'!$D$26:$AH$26)</f>
        <v>1.5180236160629155</v>
      </c>
      <c r="F26" s="23">
        <f>MIN('1. Datos brutos'!$D$26:$AH$26)</f>
        <v>0.37</v>
      </c>
      <c r="G26" s="24" t="str">
        <f>INDEX('1. Datos brutos'!$D$4:$AH$4,MATCH(MIN('1. Datos brutos'!$D$26:$AH$26),'1. Datos brutos'!$D$26:$AH$26,0))</f>
        <v>2015</v>
      </c>
      <c r="H26" s="23">
        <f>MAX('1. Datos brutos'!$D$26:$AH$26)</f>
        <v>7.92</v>
      </c>
      <c r="I26" s="25">
        <f>AVERAGEIF('1. Datos brutos'!$D$26:$AH$26,"&lt;=30")</f>
        <v>2.3990322580645169</v>
      </c>
      <c r="J26" s="25">
        <f>STDEV(IF('1. Datos brutos'!$D$26:$AH$26&lt;=30,'1. Datos brutos'!$D$26:$AH$26))</f>
        <v>1.5180236160629155</v>
      </c>
      <c r="K26" s="25">
        <f>MEDIAN(IF('1. Datos brutos'!$D$26:$AH$26&lt;=30,'1. Datos brutos'!$D$26:$AH$26))</f>
        <v>2.2200000000000002</v>
      </c>
      <c r="L26" s="26">
        <f t="shared" si="0"/>
        <v>63.276498719847204</v>
      </c>
      <c r="M26" s="25">
        <f>PERCENTILE(IF('1. Datos brutos'!$D$26:$AH$26&lt;=30,'1. Datos brutos'!$D$26:$AH$26),0.75)-PERCENTILE(IF('1. Datos brutos'!$D$26:$AH$26&lt;=30,'1. Datos brutos'!$D$26:$AH$26),0.25)</f>
        <v>1.0350000000000001</v>
      </c>
      <c r="N26" s="27">
        <f>PERCENTILE(IF('1. Datos brutos'!$D$26:$AH$26&lt;=30,'1. Datos brutos'!$D$26:$AH$26),0.25)</f>
        <v>1.5249999999999999</v>
      </c>
      <c r="O26" s="27">
        <f>PERCENTILE(IF('1. Datos brutos'!$D$26:$AH$26&lt;=30,'1. Datos brutos'!$D$26:$AH$26),0.75)</f>
        <v>2.56</v>
      </c>
      <c r="P26" s="28">
        <f>COUNT('1. Datos brutos'!$D$26:$AH$26)</f>
        <v>31</v>
      </c>
      <c r="Q26" s="29">
        <f>COUNTIF('1. Datos brutos'!$D$26:$AH$26,"&gt;30")</f>
        <v>0</v>
      </c>
      <c r="R26" s="30">
        <f>COUNTIF('1. Datos brutos'!$D$26:$AH$26,"&lt;0")</f>
        <v>0</v>
      </c>
    </row>
  </sheetData>
  <mergeCells count="7">
    <mergeCell ref="I3:M3"/>
    <mergeCell ref="Q3:R3"/>
    <mergeCell ref="A2:R2"/>
    <mergeCell ref="A3:C3"/>
    <mergeCell ref="A1:R1"/>
    <mergeCell ref="N3:P3"/>
    <mergeCell ref="D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7"/>
  <sheetViews>
    <sheetView showGridLines="0" zoomScale="58" workbookViewId="0">
      <pane xSplit="2" ySplit="5" topLeftCell="C6" activePane="bottomRight" state="frozen"/>
      <selection pane="topRight"/>
      <selection pane="bottomLeft"/>
      <selection pane="bottomRight" sqref="A1:AH1"/>
    </sheetView>
  </sheetViews>
  <sheetFormatPr baseColWidth="10" defaultColWidth="8.7265625" defaultRowHeight="14.5" x14ac:dyDescent="0.35"/>
  <cols>
    <col min="1" max="1" width="14" customWidth="1"/>
    <col min="2" max="2" width="13" customWidth="1"/>
    <col min="3" max="35" width="5.453125" customWidth="1"/>
  </cols>
  <sheetData>
    <row r="1" spans="1:35" x14ac:dyDescent="0.35">
      <c r="A1" s="77" t="s">
        <v>106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</row>
    <row r="2" spans="1:35" x14ac:dyDescent="0.35">
      <c r="A2" s="75" t="s">
        <v>107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3" spans="1:35" x14ac:dyDescent="0.35">
      <c r="A3" s="80" t="s">
        <v>108</v>
      </c>
      <c r="B3" s="72"/>
      <c r="C3" s="12" t="s">
        <v>109</v>
      </c>
      <c r="D3" s="31" t="s">
        <v>110</v>
      </c>
      <c r="E3" s="32" t="s">
        <v>111</v>
      </c>
      <c r="F3" s="33" t="s">
        <v>112</v>
      </c>
      <c r="G3" s="34" t="s">
        <v>113</v>
      </c>
      <c r="H3" s="13" t="s">
        <v>114</v>
      </c>
    </row>
    <row r="5" spans="1:35" ht="20" customHeigh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  <c r="AG5" s="2" t="s">
        <v>35</v>
      </c>
      <c r="AH5" s="2" t="s">
        <v>36</v>
      </c>
      <c r="AI5" s="2" t="s">
        <v>37</v>
      </c>
    </row>
    <row r="6" spans="1:35" x14ac:dyDescent="0.35">
      <c r="A6" s="35" t="str">
        <f>'1. Datos brutos'!B5</f>
        <v>Alemania</v>
      </c>
      <c r="B6" s="5" t="str">
        <f>'1. Datos brutos'!C5</f>
        <v>Eurozona core</v>
      </c>
      <c r="C6" s="36">
        <f>IF(ISNUMBER('1. Datos brutos'!D5),IF('1. Datos brutos'!D5&gt;30,"Hiper.",'1. Datos brutos'!D5),"")</f>
        <v>4.47</v>
      </c>
      <c r="D6" s="37">
        <f>IF(ISNUMBER('1. Datos brutos'!E5),IF('1. Datos brutos'!E5&gt;30,"Hiper.",'1. Datos brutos'!E5),"")</f>
        <v>2.69</v>
      </c>
      <c r="E6" s="38">
        <f>IF(ISNUMBER('1. Datos brutos'!F5),IF('1. Datos brutos'!F5&gt;30,"Hiper.",'1. Datos brutos'!F5),"")</f>
        <v>1.71</v>
      </c>
      <c r="F6" s="38">
        <f>IF(ISNUMBER('1. Datos brutos'!G5),IF('1. Datos brutos'!G5&gt;30,"Hiper.",'1. Datos brutos'!G5),"")</f>
        <v>1.45</v>
      </c>
      <c r="G6" s="38">
        <f>IF(ISNUMBER('1. Datos brutos'!H5),IF('1. Datos brutos'!H5&gt;30,"Hiper.",'1. Datos brutos'!H5),"")</f>
        <v>1.94</v>
      </c>
      <c r="H6" s="39">
        <f>IF(ISNUMBER('1. Datos brutos'!I5),IF('1. Datos brutos'!I5&gt;30,"Hiper.",'1. Datos brutos'!I5),"")</f>
        <v>0.91</v>
      </c>
      <c r="I6" s="39">
        <f>IF(ISNUMBER('1. Datos brutos'!J5),IF('1. Datos brutos'!J5&gt;30,"Hiper.",'1. Datos brutos'!J5),"")</f>
        <v>0.59</v>
      </c>
      <c r="J6" s="38">
        <f>IF(ISNUMBER('1. Datos brutos'!K5),IF('1. Datos brutos'!K5&gt;30,"Hiper.",'1. Datos brutos'!K5),"")</f>
        <v>1.44</v>
      </c>
      <c r="K6" s="38">
        <f>IF(ISNUMBER('1. Datos brutos'!L5),IF('1. Datos brutos'!L5&gt;30,"Hiper.",'1. Datos brutos'!L5),"")</f>
        <v>1.98</v>
      </c>
      <c r="L6" s="38">
        <f>IF(ISNUMBER('1. Datos brutos'!M5),IF('1. Datos brutos'!M5&gt;30,"Hiper.",'1. Datos brutos'!M5),"")</f>
        <v>1.42</v>
      </c>
      <c r="M6" s="38">
        <f>IF(ISNUMBER('1. Datos brutos'!N5),IF('1. Datos brutos'!N5&gt;30,"Hiper.",'1. Datos brutos'!N5),"")</f>
        <v>1.03</v>
      </c>
      <c r="N6" s="38">
        <f>IF(ISNUMBER('1. Datos brutos'!O5),IF('1. Datos brutos'!O5&gt;30,"Hiper.",'1. Datos brutos'!O5),"")</f>
        <v>1.67</v>
      </c>
      <c r="O6" s="38">
        <f>IF(ISNUMBER('1. Datos brutos'!P5),IF('1. Datos brutos'!P5&gt;30,"Hiper.",'1. Datos brutos'!P5),"")</f>
        <v>1.55</v>
      </c>
      <c r="P6" s="38">
        <f>IF(ISNUMBER('1. Datos brutos'!Q5),IF('1. Datos brutos'!Q5&gt;30,"Hiper.",'1. Datos brutos'!Q5),"")</f>
        <v>1.58</v>
      </c>
      <c r="Q6" s="37">
        <f>IF(ISNUMBER('1. Datos brutos'!R5),IF('1. Datos brutos'!R5&gt;30,"Hiper.",'1. Datos brutos'!R5),"")</f>
        <v>2.2999999999999998</v>
      </c>
      <c r="R6" s="37">
        <f>IF(ISNUMBER('1. Datos brutos'!S5),IF('1. Datos brutos'!S5&gt;30,"Hiper.",'1. Datos brutos'!S5),"")</f>
        <v>2.63</v>
      </c>
      <c r="S6" s="39">
        <f>IF(ISNUMBER('1. Datos brutos'!T5),IF('1. Datos brutos'!T5&gt;30,"Hiper.",'1. Datos brutos'!T5),"")</f>
        <v>0.31</v>
      </c>
      <c r="T6" s="38">
        <f>IF(ISNUMBER('1. Datos brutos'!U5),IF('1. Datos brutos'!U5&gt;30,"Hiper.",'1. Datos brutos'!U5),"")</f>
        <v>1.1000000000000001</v>
      </c>
      <c r="U6" s="37">
        <f>IF(ISNUMBER('1. Datos brutos'!V5),IF('1. Datos brutos'!V5&gt;30,"Hiper.",'1. Datos brutos'!V5),"")</f>
        <v>2.08</v>
      </c>
      <c r="V6" s="37">
        <f>IF(ISNUMBER('1. Datos brutos'!W5),IF('1. Datos brutos'!W5&gt;30,"Hiper.",'1. Datos brutos'!W5),"")</f>
        <v>2.0099999999999998</v>
      </c>
      <c r="W6" s="38">
        <f>IF(ISNUMBER('1. Datos brutos'!X5),IF('1. Datos brutos'!X5&gt;30,"Hiper.",'1. Datos brutos'!X5),"")</f>
        <v>1.5</v>
      </c>
      <c r="X6" s="39">
        <f>IF(ISNUMBER('1. Datos brutos'!Y5),IF('1. Datos brutos'!Y5&gt;30,"Hiper.",'1. Datos brutos'!Y5),"")</f>
        <v>0.91</v>
      </c>
      <c r="Y6" s="39">
        <f>IF(ISNUMBER('1. Datos brutos'!Z5),IF('1. Datos brutos'!Z5&gt;30,"Hiper.",'1. Datos brutos'!Z5),"")</f>
        <v>0.51</v>
      </c>
      <c r="Z6" s="39">
        <f>IF(ISNUMBER('1. Datos brutos'!AA5),IF('1. Datos brutos'!AA5&gt;30,"Hiper.",'1. Datos brutos'!AA5),"")</f>
        <v>0.49</v>
      </c>
      <c r="AA6" s="38">
        <f>IF(ISNUMBER('1. Datos brutos'!AB5),IF('1. Datos brutos'!AB5&gt;30,"Hiper.",'1. Datos brutos'!AB5),"")</f>
        <v>1.51</v>
      </c>
      <c r="AB6" s="38">
        <f>IF(ISNUMBER('1. Datos brutos'!AC5),IF('1. Datos brutos'!AC5&gt;30,"Hiper.",'1. Datos brutos'!AC5),"")</f>
        <v>1.73</v>
      </c>
      <c r="AC6" s="38">
        <f>IF(ISNUMBER('1. Datos brutos'!AD5),IF('1. Datos brutos'!AD5&gt;30,"Hiper.",'1. Datos brutos'!AD5),"")</f>
        <v>1.45</v>
      </c>
      <c r="AD6" s="39">
        <f>IF(ISNUMBER('1. Datos brutos'!AE5),IF('1. Datos brutos'!AE5&gt;30,"Hiper.",'1. Datos brutos'!AE5),"")</f>
        <v>0.14000000000000001</v>
      </c>
      <c r="AE6" s="36">
        <f>IF(ISNUMBER('1. Datos brutos'!AF5),IF('1. Datos brutos'!AF5&gt;30,"Hiper.",'1. Datos brutos'!AF5),"")</f>
        <v>3.07</v>
      </c>
      <c r="AF6" s="40">
        <f>IF(ISNUMBER('1. Datos brutos'!AG5),IF('1. Datos brutos'!AG5&gt;30,"Hiper.",'1. Datos brutos'!AG5),"")</f>
        <v>6.87</v>
      </c>
      <c r="AG6" s="40">
        <f>IF(ISNUMBER('1. Datos brutos'!AH5),IF('1. Datos brutos'!AH5&gt;30,"Hiper.",'1. Datos brutos'!AH5),"")</f>
        <v>5.95</v>
      </c>
      <c r="AH6" s="37">
        <f>IF(ISNUMBER('1. Datos brutos'!AI5),IF('1. Datos brutos'!AI5&gt;30,"Hiper.",'1. Datos brutos'!AI5),"")</f>
        <v>2.2599999999999998</v>
      </c>
      <c r="AI6" s="39">
        <f>IF(ISNUMBER('1. Datos brutos'!AJ5),IF('1. Datos brutos'!AJ5&gt;30,"Hiper.",'1. Datos brutos'!AJ5),"")</f>
        <v>0</v>
      </c>
    </row>
    <row r="7" spans="1:35" x14ac:dyDescent="0.35">
      <c r="A7" s="35" t="str">
        <f>'1. Datos brutos'!B6</f>
        <v>Austria</v>
      </c>
      <c r="B7" s="5" t="str">
        <f>'1. Datos brutos'!C6</f>
        <v>Eurozona core</v>
      </c>
      <c r="C7" s="36">
        <f>IF(ISNUMBER('1. Datos brutos'!D6),IF('1. Datos brutos'!D6&gt;30,"Hiper.",'1. Datos brutos'!D6),"")</f>
        <v>3.63</v>
      </c>
      <c r="D7" s="37">
        <f>IF(ISNUMBER('1. Datos brutos'!E6),IF('1. Datos brutos'!E6&gt;30,"Hiper.",'1. Datos brutos'!E6),"")</f>
        <v>2.95</v>
      </c>
      <c r="E7" s="37">
        <f>IF(ISNUMBER('1. Datos brutos'!F6),IF('1. Datos brutos'!F6&gt;30,"Hiper.",'1. Datos brutos'!F6),"")</f>
        <v>2.2400000000000002</v>
      </c>
      <c r="F7" s="38">
        <f>IF(ISNUMBER('1. Datos brutos'!G6),IF('1. Datos brutos'!G6&gt;30,"Hiper.",'1. Datos brutos'!G6),"")</f>
        <v>1.86</v>
      </c>
      <c r="G7" s="38">
        <f>IF(ISNUMBER('1. Datos brutos'!H6),IF('1. Datos brutos'!H6&gt;30,"Hiper.",'1. Datos brutos'!H6),"")</f>
        <v>1.31</v>
      </c>
      <c r="H7" s="39">
        <f>IF(ISNUMBER('1. Datos brutos'!I6),IF('1. Datos brutos'!I6&gt;30,"Hiper.",'1. Datos brutos'!I6),"")</f>
        <v>0.92</v>
      </c>
      <c r="I7" s="39">
        <f>IF(ISNUMBER('1. Datos brutos'!J6),IF('1. Datos brutos'!J6&gt;30,"Hiper.",'1. Datos brutos'!J6),"")</f>
        <v>0.56999999999999995</v>
      </c>
      <c r="J7" s="37">
        <f>IF(ISNUMBER('1. Datos brutos'!K6),IF('1. Datos brutos'!K6&gt;30,"Hiper.",'1. Datos brutos'!K6),"")</f>
        <v>2.34</v>
      </c>
      <c r="K7" s="37">
        <f>IF(ISNUMBER('1. Datos brutos'!L6),IF('1. Datos brutos'!L6&gt;30,"Hiper.",'1. Datos brutos'!L6),"")</f>
        <v>2.65</v>
      </c>
      <c r="L7" s="38">
        <f>IF(ISNUMBER('1. Datos brutos'!M6),IF('1. Datos brutos'!M6&gt;30,"Hiper.",'1. Datos brutos'!M6),"")</f>
        <v>1.81</v>
      </c>
      <c r="M7" s="38">
        <f>IF(ISNUMBER('1. Datos brutos'!N6),IF('1. Datos brutos'!N6&gt;30,"Hiper.",'1. Datos brutos'!N6),"")</f>
        <v>1.36</v>
      </c>
      <c r="N7" s="37">
        <f>IF(ISNUMBER('1. Datos brutos'!O6),IF('1. Datos brutos'!O6&gt;30,"Hiper.",'1. Datos brutos'!O6),"")</f>
        <v>2.06</v>
      </c>
      <c r="O7" s="37">
        <f>IF(ISNUMBER('1. Datos brutos'!P6),IF('1. Datos brutos'!P6&gt;30,"Hiper.",'1. Datos brutos'!P6),"")</f>
        <v>2.2999999999999998</v>
      </c>
      <c r="P7" s="38">
        <f>IF(ISNUMBER('1. Datos brutos'!Q6),IF('1. Datos brutos'!Q6&gt;30,"Hiper.",'1. Datos brutos'!Q6),"")</f>
        <v>1.44</v>
      </c>
      <c r="Q7" s="37">
        <f>IF(ISNUMBER('1. Datos brutos'!R6),IF('1. Datos brutos'!R6&gt;30,"Hiper.",'1. Datos brutos'!R6),"")</f>
        <v>2.17</v>
      </c>
      <c r="R7" s="36">
        <f>IF(ISNUMBER('1. Datos brutos'!S6),IF('1. Datos brutos'!S6&gt;30,"Hiper.",'1. Datos brutos'!S6),"")</f>
        <v>3.22</v>
      </c>
      <c r="S7" s="39">
        <f>IF(ISNUMBER('1. Datos brutos'!T6),IF('1. Datos brutos'!T6&gt;30,"Hiper.",'1. Datos brutos'!T6),"")</f>
        <v>0.51</v>
      </c>
      <c r="T7" s="38">
        <f>IF(ISNUMBER('1. Datos brutos'!U6),IF('1. Datos brutos'!U6&gt;30,"Hiper.",'1. Datos brutos'!U6),"")</f>
        <v>1.81</v>
      </c>
      <c r="U7" s="36">
        <f>IF(ISNUMBER('1. Datos brutos'!V6),IF('1. Datos brutos'!V6&gt;30,"Hiper.",'1. Datos brutos'!V6),"")</f>
        <v>3.29</v>
      </c>
      <c r="V7" s="37">
        <f>IF(ISNUMBER('1. Datos brutos'!W6),IF('1. Datos brutos'!W6&gt;30,"Hiper.",'1. Datos brutos'!W6),"")</f>
        <v>2.4900000000000002</v>
      </c>
      <c r="W7" s="37">
        <f>IF(ISNUMBER('1. Datos brutos'!X6),IF('1. Datos brutos'!X6&gt;30,"Hiper.",'1. Datos brutos'!X6),"")</f>
        <v>2</v>
      </c>
      <c r="X7" s="38">
        <f>IF(ISNUMBER('1. Datos brutos'!Y6),IF('1. Datos brutos'!Y6&gt;30,"Hiper.",'1. Datos brutos'!Y6),"")</f>
        <v>1.61</v>
      </c>
      <c r="Y7" s="39">
        <f>IF(ISNUMBER('1. Datos brutos'!Z6),IF('1. Datos brutos'!Z6&gt;30,"Hiper.",'1. Datos brutos'!Z6),"")</f>
        <v>0.9</v>
      </c>
      <c r="Z7" s="39">
        <f>IF(ISNUMBER('1. Datos brutos'!AA6),IF('1. Datos brutos'!AA6&gt;30,"Hiper.",'1. Datos brutos'!AA6),"")</f>
        <v>0.89</v>
      </c>
      <c r="AA7" s="37">
        <f>IF(ISNUMBER('1. Datos brutos'!AB6),IF('1. Datos brutos'!AB6&gt;30,"Hiper.",'1. Datos brutos'!AB6),"")</f>
        <v>2.08</v>
      </c>
      <c r="AB7" s="37">
        <f>IF(ISNUMBER('1. Datos brutos'!AC6),IF('1. Datos brutos'!AC6&gt;30,"Hiper.",'1. Datos brutos'!AC6),"")</f>
        <v>2</v>
      </c>
      <c r="AC7" s="38">
        <f>IF(ISNUMBER('1. Datos brutos'!AD6),IF('1. Datos brutos'!AD6&gt;30,"Hiper.",'1. Datos brutos'!AD6),"")</f>
        <v>1.53</v>
      </c>
      <c r="AD7" s="38">
        <f>IF(ISNUMBER('1. Datos brutos'!AE6),IF('1. Datos brutos'!AE6&gt;30,"Hiper.",'1. Datos brutos'!AE6),"")</f>
        <v>1.38</v>
      </c>
      <c r="AE7" s="37">
        <f>IF(ISNUMBER('1. Datos brutos'!AF6),IF('1. Datos brutos'!AF6&gt;30,"Hiper.",'1. Datos brutos'!AF6),"")</f>
        <v>2.77</v>
      </c>
      <c r="AF7" s="41">
        <f>IF(ISNUMBER('1. Datos brutos'!AG6),IF('1. Datos brutos'!AG6&gt;30,"Hiper.",'1. Datos brutos'!AG6),"")</f>
        <v>8.5500000000000007</v>
      </c>
      <c r="AG7" s="41">
        <f>IF(ISNUMBER('1. Datos brutos'!AH6),IF('1. Datos brutos'!AH6&gt;30,"Hiper.",'1. Datos brutos'!AH6),"")</f>
        <v>7.81</v>
      </c>
      <c r="AH7" s="37">
        <f>IF(ISNUMBER('1. Datos brutos'!AI6),IF('1. Datos brutos'!AI6&gt;30,"Hiper.",'1. Datos brutos'!AI6),"")</f>
        <v>2.94</v>
      </c>
      <c r="AI7" s="39">
        <f>IF(ISNUMBER('1. Datos brutos'!AJ6),IF('1. Datos brutos'!AJ6&gt;30,"Hiper.",'1. Datos brutos'!AJ6),"")</f>
        <v>0</v>
      </c>
    </row>
    <row r="8" spans="1:35" x14ac:dyDescent="0.35">
      <c r="A8" s="35" t="str">
        <f>'1. Datos brutos'!B7</f>
        <v>Bélgica</v>
      </c>
      <c r="B8" s="5" t="str">
        <f>'1. Datos brutos'!C7</f>
        <v>Eurozona core</v>
      </c>
      <c r="C8" s="37">
        <f>IF(ISNUMBER('1. Datos brutos'!D7),IF('1. Datos brutos'!D7&gt;30,"Hiper.",'1. Datos brutos'!D7),"")</f>
        <v>2.75</v>
      </c>
      <c r="D8" s="37">
        <f>IF(ISNUMBER('1. Datos brutos'!E7),IF('1. Datos brutos'!E7&gt;30,"Hiper.",'1. Datos brutos'!E7),"")</f>
        <v>2.38</v>
      </c>
      <c r="E8" s="38">
        <f>IF(ISNUMBER('1. Datos brutos'!F7),IF('1. Datos brutos'!F7&gt;30,"Hiper.",'1. Datos brutos'!F7),"")</f>
        <v>1.47</v>
      </c>
      <c r="F8" s="37">
        <f>IF(ISNUMBER('1. Datos brutos'!G7),IF('1. Datos brutos'!G7&gt;30,"Hiper.",'1. Datos brutos'!G7),"")</f>
        <v>2.08</v>
      </c>
      <c r="G8" s="38">
        <f>IF(ISNUMBER('1. Datos brutos'!H7),IF('1. Datos brutos'!H7&gt;30,"Hiper.",'1. Datos brutos'!H7),"")</f>
        <v>1.63</v>
      </c>
      <c r="H8" s="39">
        <f>IF(ISNUMBER('1. Datos brutos'!I7),IF('1. Datos brutos'!I7&gt;30,"Hiper.",'1. Datos brutos'!I7),"")</f>
        <v>0.95</v>
      </c>
      <c r="I8" s="38">
        <f>IF(ISNUMBER('1. Datos brutos'!J7),IF('1. Datos brutos'!J7&gt;30,"Hiper.",'1. Datos brutos'!J7),"")</f>
        <v>1.1200000000000001</v>
      </c>
      <c r="J8" s="37">
        <f>IF(ISNUMBER('1. Datos brutos'!K7),IF('1. Datos brutos'!K7&gt;30,"Hiper.",'1. Datos brutos'!K7),"")</f>
        <v>2.54</v>
      </c>
      <c r="K8" s="37">
        <f>IF(ISNUMBER('1. Datos brutos'!L7),IF('1. Datos brutos'!L7&gt;30,"Hiper.",'1. Datos brutos'!L7),"")</f>
        <v>2.4700000000000002</v>
      </c>
      <c r="L8" s="38">
        <f>IF(ISNUMBER('1. Datos brutos'!M7),IF('1. Datos brutos'!M7&gt;30,"Hiper.",'1. Datos brutos'!M7),"")</f>
        <v>1.65</v>
      </c>
      <c r="M8" s="38">
        <f>IF(ISNUMBER('1. Datos brutos'!N7),IF('1. Datos brutos'!N7&gt;30,"Hiper.",'1. Datos brutos'!N7),"")</f>
        <v>1.59</v>
      </c>
      <c r="N8" s="37">
        <f>IF(ISNUMBER('1. Datos brutos'!O7),IF('1. Datos brutos'!O7&gt;30,"Hiper.",'1. Datos brutos'!O7),"")</f>
        <v>2.1</v>
      </c>
      <c r="O8" s="37">
        <f>IF(ISNUMBER('1. Datos brutos'!P7),IF('1. Datos brutos'!P7&gt;30,"Hiper.",'1. Datos brutos'!P7),"")</f>
        <v>2.78</v>
      </c>
      <c r="P8" s="38">
        <f>IF(ISNUMBER('1. Datos brutos'!Q7),IF('1. Datos brutos'!Q7&gt;30,"Hiper.",'1. Datos brutos'!Q7),"")</f>
        <v>1.79</v>
      </c>
      <c r="Q8" s="38">
        <f>IF(ISNUMBER('1. Datos brutos'!R7),IF('1. Datos brutos'!R7&gt;30,"Hiper.",'1. Datos brutos'!R7),"")</f>
        <v>1.82</v>
      </c>
      <c r="R8" s="36">
        <f>IF(ISNUMBER('1. Datos brutos'!S7),IF('1. Datos brutos'!S7&gt;30,"Hiper.",'1. Datos brutos'!S7),"")</f>
        <v>4.49</v>
      </c>
      <c r="S8" s="42">
        <f>IF(ISNUMBER('1. Datos brutos'!T7),IF('1. Datos brutos'!T7&gt;30,"Hiper.",'1. Datos brutos'!T7),"")</f>
        <v>-0.05</v>
      </c>
      <c r="T8" s="37">
        <f>IF(ISNUMBER('1. Datos brutos'!U7),IF('1. Datos brutos'!U7&gt;30,"Hiper.",'1. Datos brutos'!U7),"")</f>
        <v>2.19</v>
      </c>
      <c r="U8" s="36">
        <f>IF(ISNUMBER('1. Datos brutos'!V7),IF('1. Datos brutos'!V7&gt;30,"Hiper.",'1. Datos brutos'!V7),"")</f>
        <v>3.53</v>
      </c>
      <c r="V8" s="37">
        <f>IF(ISNUMBER('1. Datos brutos'!W7),IF('1. Datos brutos'!W7&gt;30,"Hiper.",'1. Datos brutos'!W7),"")</f>
        <v>2.84</v>
      </c>
      <c r="W8" s="38">
        <f>IF(ISNUMBER('1. Datos brutos'!X7),IF('1. Datos brutos'!X7&gt;30,"Hiper.",'1. Datos brutos'!X7),"")</f>
        <v>1.1100000000000001</v>
      </c>
      <c r="X8" s="39">
        <f>IF(ISNUMBER('1. Datos brutos'!Y7),IF('1. Datos brutos'!Y7&gt;30,"Hiper.",'1. Datos brutos'!Y7),"")</f>
        <v>0.34</v>
      </c>
      <c r="Y8" s="39">
        <f>IF(ISNUMBER('1. Datos brutos'!Z7),IF('1. Datos brutos'!Z7&gt;30,"Hiper.",'1. Datos brutos'!Z7),"")</f>
        <v>0.56000000000000005</v>
      </c>
      <c r="Z8" s="38">
        <f>IF(ISNUMBER('1. Datos brutos'!AA7),IF('1. Datos brutos'!AA7&gt;30,"Hiper.",'1. Datos brutos'!AA7),"")</f>
        <v>1.97</v>
      </c>
      <c r="AA8" s="37">
        <f>IF(ISNUMBER('1. Datos brutos'!AB7),IF('1. Datos brutos'!AB7&gt;30,"Hiper.",'1. Datos brutos'!AB7),"")</f>
        <v>2.13</v>
      </c>
      <c r="AB8" s="37">
        <f>IF(ISNUMBER('1. Datos brutos'!AC7),IF('1. Datos brutos'!AC7&gt;30,"Hiper.",'1. Datos brutos'!AC7),"")</f>
        <v>2.0499999999999998</v>
      </c>
      <c r="AC8" s="38">
        <f>IF(ISNUMBER('1. Datos brutos'!AD7),IF('1. Datos brutos'!AD7&gt;30,"Hiper.",'1. Datos brutos'!AD7),"")</f>
        <v>1.44</v>
      </c>
      <c r="AD8" s="39">
        <f>IF(ISNUMBER('1. Datos brutos'!AE7),IF('1. Datos brutos'!AE7&gt;30,"Hiper.",'1. Datos brutos'!AE7),"")</f>
        <v>0.74</v>
      </c>
      <c r="AE8" s="37">
        <f>IF(ISNUMBER('1. Datos brutos'!AF7),IF('1. Datos brutos'!AF7&gt;30,"Hiper.",'1. Datos brutos'!AF7),"")</f>
        <v>2.44</v>
      </c>
      <c r="AF8" s="41">
        <f>IF(ISNUMBER('1. Datos brutos'!AG7),IF('1. Datos brutos'!AG7&gt;30,"Hiper.",'1. Datos brutos'!AG7),"")</f>
        <v>9.6</v>
      </c>
      <c r="AG8" s="36">
        <f>IF(ISNUMBER('1. Datos brutos'!AH7),IF('1. Datos brutos'!AH7&gt;30,"Hiper.",'1. Datos brutos'!AH7),"")</f>
        <v>4.05</v>
      </c>
      <c r="AH8" s="36">
        <f>IF(ISNUMBER('1. Datos brutos'!AI7),IF('1. Datos brutos'!AI7&gt;30,"Hiper.",'1. Datos brutos'!AI7),"")</f>
        <v>3.14</v>
      </c>
      <c r="AI8" s="39">
        <f>IF(ISNUMBER('1. Datos brutos'!AJ7),IF('1. Datos brutos'!AJ7&gt;30,"Hiper.",'1. Datos brutos'!AJ7),"")</f>
        <v>0</v>
      </c>
    </row>
    <row r="9" spans="1:35" x14ac:dyDescent="0.35">
      <c r="A9" s="35" t="str">
        <f>'1. Datos brutos'!B8</f>
        <v>Chipre</v>
      </c>
      <c r="B9" s="5" t="str">
        <f>'1. Datos brutos'!C8</f>
        <v>Eurozona core</v>
      </c>
      <c r="C9" s="36">
        <f>IF(ISNUMBER('1. Datos brutos'!D8),IF('1. Datos brutos'!D8&gt;30,"Hiper.",'1. Datos brutos'!D8),"")</f>
        <v>4.8499999999999996</v>
      </c>
      <c r="D9" s="36">
        <f>IF(ISNUMBER('1. Datos brutos'!E8),IF('1. Datos brutos'!E8&gt;30,"Hiper.",'1. Datos brutos'!E8),"")</f>
        <v>4.7</v>
      </c>
      <c r="E9" s="37">
        <f>IF(ISNUMBER('1. Datos brutos'!F8),IF('1. Datos brutos'!F8&gt;30,"Hiper.",'1. Datos brutos'!F8),"")</f>
        <v>2.62</v>
      </c>
      <c r="F9" s="37">
        <f>IF(ISNUMBER('1. Datos brutos'!G8),IF('1. Datos brutos'!G8&gt;30,"Hiper.",'1. Datos brutos'!G8),"")</f>
        <v>2.98</v>
      </c>
      <c r="G9" s="36">
        <f>IF(ISNUMBER('1. Datos brutos'!H8),IF('1. Datos brutos'!H8&gt;30,"Hiper.",'1. Datos brutos'!H8),"")</f>
        <v>3.61</v>
      </c>
      <c r="H9" s="37">
        <f>IF(ISNUMBER('1. Datos brutos'!I8),IF('1. Datos brutos'!I8&gt;30,"Hiper.",'1. Datos brutos'!I8),"")</f>
        <v>2.23</v>
      </c>
      <c r="I9" s="38">
        <f>IF(ISNUMBER('1. Datos brutos'!J8),IF('1. Datos brutos'!J8&gt;30,"Hiper.",'1. Datos brutos'!J8),"")</f>
        <v>1.63</v>
      </c>
      <c r="J9" s="36">
        <f>IF(ISNUMBER('1. Datos brutos'!K8),IF('1. Datos brutos'!K8&gt;30,"Hiper.",'1. Datos brutos'!K8),"")</f>
        <v>4.1399999999999997</v>
      </c>
      <c r="K9" s="38">
        <f>IF(ISNUMBER('1. Datos brutos'!L8),IF('1. Datos brutos'!L8&gt;30,"Hiper.",'1. Datos brutos'!L8),"")</f>
        <v>1.97</v>
      </c>
      <c r="L9" s="37">
        <f>IF(ISNUMBER('1. Datos brutos'!M8),IF('1. Datos brutos'!M8&gt;30,"Hiper.",'1. Datos brutos'!M8),"")</f>
        <v>2.8</v>
      </c>
      <c r="M9" s="36">
        <f>IF(ISNUMBER('1. Datos brutos'!N8),IF('1. Datos brutos'!N8&gt;30,"Hiper.",'1. Datos brutos'!N8),"")</f>
        <v>4.1399999999999997</v>
      </c>
      <c r="N9" s="37">
        <f>IF(ISNUMBER('1. Datos brutos'!O8),IF('1. Datos brutos'!O8&gt;30,"Hiper.",'1. Datos brutos'!O8),"")</f>
        <v>2.29</v>
      </c>
      <c r="O9" s="37">
        <f>IF(ISNUMBER('1. Datos brutos'!P8),IF('1. Datos brutos'!P8&gt;30,"Hiper.",'1. Datos brutos'!P8),"")</f>
        <v>2.56</v>
      </c>
      <c r="P9" s="37">
        <f>IF(ISNUMBER('1. Datos brutos'!Q8),IF('1. Datos brutos'!Q8&gt;30,"Hiper.",'1. Datos brutos'!Q8),"")</f>
        <v>2.2999999999999998</v>
      </c>
      <c r="Q9" s="37">
        <f>IF(ISNUMBER('1. Datos brutos'!R8),IF('1. Datos brutos'!R8&gt;30,"Hiper.",'1. Datos brutos'!R8),"")</f>
        <v>2.37</v>
      </c>
      <c r="R9" s="36">
        <f>IF(ISNUMBER('1. Datos brutos'!S8),IF('1. Datos brutos'!S8&gt;30,"Hiper.",'1. Datos brutos'!S8),"")</f>
        <v>4.67</v>
      </c>
      <c r="S9" s="39">
        <f>IF(ISNUMBER('1. Datos brutos'!T8),IF('1. Datos brutos'!T8&gt;30,"Hiper.",'1. Datos brutos'!T8),"")</f>
        <v>0.33</v>
      </c>
      <c r="T9" s="37">
        <f>IF(ISNUMBER('1. Datos brutos'!U8),IF('1. Datos brutos'!U8&gt;30,"Hiper.",'1. Datos brutos'!U8),"")</f>
        <v>2.4300000000000002</v>
      </c>
      <c r="U9" s="36">
        <f>IF(ISNUMBER('1. Datos brutos'!V8),IF('1. Datos brutos'!V8&gt;30,"Hiper.",'1. Datos brutos'!V8),"")</f>
        <v>3.29</v>
      </c>
      <c r="V9" s="37">
        <f>IF(ISNUMBER('1. Datos brutos'!W8),IF('1. Datos brutos'!W8&gt;30,"Hiper.",'1. Datos brutos'!W8),"")</f>
        <v>2.39</v>
      </c>
      <c r="W9" s="42">
        <f>IF(ISNUMBER('1. Datos brutos'!X8),IF('1. Datos brutos'!X8&gt;30,"Hiper.",'1. Datos brutos'!X8),"")</f>
        <v>-0.4</v>
      </c>
      <c r="X9" s="42">
        <f>IF(ISNUMBER('1. Datos brutos'!Y8),IF('1. Datos brutos'!Y8&gt;30,"Hiper.",'1. Datos brutos'!Y8),"")</f>
        <v>-1.35</v>
      </c>
      <c r="Y9" s="42">
        <f>IF(ISNUMBER('1. Datos brutos'!Z8),IF('1. Datos brutos'!Z8&gt;30,"Hiper.",'1. Datos brutos'!Z8),"")</f>
        <v>-2.1</v>
      </c>
      <c r="Z9" s="42">
        <f>IF(ISNUMBER('1. Datos brutos'!AA8),IF('1. Datos brutos'!AA8&gt;30,"Hiper.",'1. Datos brutos'!AA8),"")</f>
        <v>-1.43</v>
      </c>
      <c r="AA9" s="39">
        <f>IF(ISNUMBER('1. Datos brutos'!AB8),IF('1. Datos brutos'!AB8&gt;30,"Hiper.",'1. Datos brutos'!AB8),"")</f>
        <v>0.53</v>
      </c>
      <c r="AB9" s="38">
        <f>IF(ISNUMBER('1. Datos brutos'!AC8),IF('1. Datos brutos'!AC8&gt;30,"Hiper.",'1. Datos brutos'!AC8),"")</f>
        <v>1.44</v>
      </c>
      <c r="AC9" s="39">
        <f>IF(ISNUMBER('1. Datos brutos'!AD8),IF('1. Datos brutos'!AD8&gt;30,"Hiper.",'1. Datos brutos'!AD8),"")</f>
        <v>0.25</v>
      </c>
      <c r="AD9" s="42">
        <f>IF(ISNUMBER('1. Datos brutos'!AE8),IF('1. Datos brutos'!AE8&gt;30,"Hiper.",'1. Datos brutos'!AE8),"")</f>
        <v>-0.64</v>
      </c>
      <c r="AE9" s="37">
        <f>IF(ISNUMBER('1. Datos brutos'!AF8),IF('1. Datos brutos'!AF8&gt;30,"Hiper.",'1. Datos brutos'!AF8),"")</f>
        <v>2.4500000000000002</v>
      </c>
      <c r="AF9" s="41">
        <f>IF(ISNUMBER('1. Datos brutos'!AG8),IF('1. Datos brutos'!AG8&gt;30,"Hiper.",'1. Datos brutos'!AG8),"")</f>
        <v>8.4</v>
      </c>
      <c r="AG9" s="36">
        <f>IF(ISNUMBER('1. Datos brutos'!AH8),IF('1. Datos brutos'!AH8&gt;30,"Hiper.",'1. Datos brutos'!AH8),"")</f>
        <v>3.54</v>
      </c>
      <c r="AH9" s="38">
        <f>IF(ISNUMBER('1. Datos brutos'!AI8),IF('1. Datos brutos'!AI8&gt;30,"Hiper.",'1. Datos brutos'!AI8),"")</f>
        <v>1.8</v>
      </c>
      <c r="AI9" s="39">
        <f>IF(ISNUMBER('1. Datos brutos'!AJ8),IF('1. Datos brutos'!AJ8&gt;30,"Hiper.",'1. Datos brutos'!AJ8),"")</f>
        <v>0</v>
      </c>
    </row>
    <row r="10" spans="1:35" x14ac:dyDescent="0.35">
      <c r="A10" s="35" t="str">
        <f>'1. Datos brutos'!B9</f>
        <v>Croacia</v>
      </c>
      <c r="B10" s="5" t="str">
        <f>'1. Datos brutos'!C9</f>
        <v>Eurozona core</v>
      </c>
      <c r="C10" s="13" t="str">
        <f>IF(ISNUMBER('1. Datos brutos'!D9),IF('1. Datos brutos'!D9&gt;30,"Hiper.",'1. Datos brutos'!D9),"")</f>
        <v>Hiper.</v>
      </c>
      <c r="D10" s="13" t="str">
        <f>IF(ISNUMBER('1. Datos brutos'!E9),IF('1. Datos brutos'!E9&gt;30,"Hiper.",'1. Datos brutos'!E9),"")</f>
        <v>Hiper.</v>
      </c>
      <c r="E10" s="36">
        <f>IF(ISNUMBER('1. Datos brutos'!F9),IF('1. Datos brutos'!F9&gt;30,"Hiper.",'1. Datos brutos'!F9),"")</f>
        <v>3.95</v>
      </c>
      <c r="F10" s="36">
        <f>IF(ISNUMBER('1. Datos brutos'!G9),IF('1. Datos brutos'!G9&gt;30,"Hiper.",'1. Datos brutos'!G9),"")</f>
        <v>4.3</v>
      </c>
      <c r="G10" s="36">
        <f>IF(ISNUMBER('1. Datos brutos'!H9),IF('1. Datos brutos'!H9&gt;30,"Hiper.",'1. Datos brutos'!H9),"")</f>
        <v>4.17</v>
      </c>
      <c r="H10" s="40">
        <f>IF(ISNUMBER('1. Datos brutos'!I9),IF('1. Datos brutos'!I9&gt;30,"Hiper.",'1. Datos brutos'!I9),"")</f>
        <v>6.4</v>
      </c>
      <c r="I10" s="36">
        <f>IF(ISNUMBER('1. Datos brutos'!J9),IF('1. Datos brutos'!J9&gt;30,"Hiper.",'1. Datos brutos'!J9),"")</f>
        <v>4.0199999999999996</v>
      </c>
      <c r="J10" s="36">
        <f>IF(ISNUMBER('1. Datos brutos'!K9),IF('1. Datos brutos'!K9&gt;30,"Hiper.",'1. Datos brutos'!K9),"")</f>
        <v>4.6100000000000003</v>
      </c>
      <c r="K10" s="36">
        <f>IF(ISNUMBER('1. Datos brutos'!L9),IF('1. Datos brutos'!L9&gt;30,"Hiper.",'1. Datos brutos'!L9),"")</f>
        <v>3.78</v>
      </c>
      <c r="L10" s="38">
        <f>IF(ISNUMBER('1. Datos brutos'!M9),IF('1. Datos brutos'!M9&gt;30,"Hiper.",'1. Datos brutos'!M9),"")</f>
        <v>1.67</v>
      </c>
      <c r="M10" s="38">
        <f>IF(ISNUMBER('1. Datos brutos'!N9),IF('1. Datos brutos'!N9&gt;30,"Hiper.",'1. Datos brutos'!N9),"")</f>
        <v>1.77</v>
      </c>
      <c r="N10" s="37">
        <f>IF(ISNUMBER('1. Datos brutos'!O9),IF('1. Datos brutos'!O9&gt;30,"Hiper.",'1. Datos brutos'!O9),"")</f>
        <v>2.06</v>
      </c>
      <c r="O10" s="36">
        <f>IF(ISNUMBER('1. Datos brutos'!P9),IF('1. Datos brutos'!P9&gt;30,"Hiper.",'1. Datos brutos'!P9),"")</f>
        <v>3.32</v>
      </c>
      <c r="P10" s="36">
        <f>IF(ISNUMBER('1. Datos brutos'!Q9),IF('1. Datos brutos'!Q9&gt;30,"Hiper.",'1. Datos brutos'!Q9),"")</f>
        <v>3.19</v>
      </c>
      <c r="Q10" s="37">
        <f>IF(ISNUMBER('1. Datos brutos'!R9),IF('1. Datos brutos'!R9&gt;30,"Hiper.",'1. Datos brutos'!R9),"")</f>
        <v>2.9</v>
      </c>
      <c r="R10" s="40">
        <f>IF(ISNUMBER('1. Datos brutos'!S9),IF('1. Datos brutos'!S9&gt;30,"Hiper.",'1. Datos brutos'!S9),"")</f>
        <v>6.08</v>
      </c>
      <c r="S10" s="37">
        <f>IF(ISNUMBER('1. Datos brutos'!T9),IF('1. Datos brutos'!T9&gt;30,"Hiper.",'1. Datos brutos'!T9),"")</f>
        <v>2.38</v>
      </c>
      <c r="T10" s="38">
        <f>IF(ISNUMBER('1. Datos brutos'!U9),IF('1. Datos brutos'!U9&gt;30,"Hiper.",'1. Datos brutos'!U9),"")</f>
        <v>1.03</v>
      </c>
      <c r="U10" s="37">
        <f>IF(ISNUMBER('1. Datos brutos'!V9),IF('1. Datos brutos'!V9&gt;30,"Hiper.",'1. Datos brutos'!V9),"")</f>
        <v>2.27</v>
      </c>
      <c r="V10" s="36">
        <f>IF(ISNUMBER('1. Datos brutos'!W9),IF('1. Datos brutos'!W9&gt;30,"Hiper.",'1. Datos brutos'!W9),"")</f>
        <v>3.41</v>
      </c>
      <c r="W10" s="37">
        <f>IF(ISNUMBER('1. Datos brutos'!X9),IF('1. Datos brutos'!X9&gt;30,"Hiper.",'1. Datos brutos'!X9),"")</f>
        <v>2.2200000000000002</v>
      </c>
      <c r="X10" s="42">
        <f>IF(ISNUMBER('1. Datos brutos'!Y9),IF('1. Datos brutos'!Y9&gt;30,"Hiper.",'1. Datos brutos'!Y9),"")</f>
        <v>-0.22</v>
      </c>
      <c r="Y10" s="42">
        <f>IF(ISNUMBER('1. Datos brutos'!Z9),IF('1. Datos brutos'!Z9&gt;30,"Hiper.",'1. Datos brutos'!Z9),"")</f>
        <v>-0.46</v>
      </c>
      <c r="Z10" s="42">
        <f>IF(ISNUMBER('1. Datos brutos'!AA9),IF('1. Datos brutos'!AA9&gt;30,"Hiper.",'1. Datos brutos'!AA9),"")</f>
        <v>-1.1299999999999999</v>
      </c>
      <c r="AA10" s="38">
        <f>IF(ISNUMBER('1. Datos brutos'!AB9),IF('1. Datos brutos'!AB9&gt;30,"Hiper.",'1. Datos brutos'!AB9),"")</f>
        <v>1.1299999999999999</v>
      </c>
      <c r="AB10" s="38">
        <f>IF(ISNUMBER('1. Datos brutos'!AC9),IF('1. Datos brutos'!AC9&gt;30,"Hiper.",'1. Datos brutos'!AC9),"")</f>
        <v>1.5</v>
      </c>
      <c r="AC10" s="39">
        <f>IF(ISNUMBER('1. Datos brutos'!AD9),IF('1. Datos brutos'!AD9&gt;30,"Hiper.",'1. Datos brutos'!AD9),"")</f>
        <v>0.77</v>
      </c>
      <c r="AD10" s="39">
        <f>IF(ISNUMBER('1. Datos brutos'!AE9),IF('1. Datos brutos'!AE9&gt;30,"Hiper.",'1. Datos brutos'!AE9),"")</f>
        <v>0.15</v>
      </c>
      <c r="AE10" s="37">
        <f>IF(ISNUMBER('1. Datos brutos'!AF9),IF('1. Datos brutos'!AF9&gt;30,"Hiper.",'1. Datos brutos'!AF9),"")</f>
        <v>2.5499999999999998</v>
      </c>
      <c r="AF10" s="43">
        <f>IF(ISNUMBER('1. Datos brutos'!AG9),IF('1. Datos brutos'!AG9&gt;30,"Hiper.",'1. Datos brutos'!AG9),"")</f>
        <v>10.78</v>
      </c>
      <c r="AG10" s="41">
        <f>IF(ISNUMBER('1. Datos brutos'!AH9),IF('1. Datos brutos'!AH9&gt;30,"Hiper.",'1. Datos brutos'!AH9),"")</f>
        <v>7.94</v>
      </c>
      <c r="AH10" s="37">
        <f>IF(ISNUMBER('1. Datos brutos'!AI9),IF('1. Datos brutos'!AI9&gt;30,"Hiper.",'1. Datos brutos'!AI9),"")</f>
        <v>2.97</v>
      </c>
      <c r="AI10" s="39">
        <f>IF(ISNUMBER('1. Datos brutos'!AJ9),IF('1. Datos brutos'!AJ9&gt;30,"Hiper.",'1. Datos brutos'!AJ9),"")</f>
        <v>0</v>
      </c>
    </row>
    <row r="11" spans="1:35" x14ac:dyDescent="0.35">
      <c r="A11" s="35" t="str">
        <f>'1. Datos brutos'!B10</f>
        <v>Eslovaquia</v>
      </c>
      <c r="B11" s="5" t="str">
        <f>'1. Datos brutos'!C10</f>
        <v>Eurozona core</v>
      </c>
      <c r="C11" s="43">
        <f>IF(ISNUMBER('1. Datos brutos'!D10),IF('1. Datos brutos'!D10&gt;30,"Hiper.",'1. Datos brutos'!D10),"")</f>
        <v>23.29</v>
      </c>
      <c r="D11" s="43">
        <f>IF(ISNUMBER('1. Datos brutos'!E10),IF('1. Datos brutos'!E10&gt;30,"Hiper.",'1. Datos brutos'!E10),"")</f>
        <v>13.42</v>
      </c>
      <c r="E11" s="41">
        <f>IF(ISNUMBER('1. Datos brutos'!F10),IF('1. Datos brutos'!F10&gt;30,"Hiper.",'1. Datos brutos'!F10),"")</f>
        <v>9.84</v>
      </c>
      <c r="F11" s="40">
        <f>IF(ISNUMBER('1. Datos brutos'!G10),IF('1. Datos brutos'!G10&gt;30,"Hiper.",'1. Datos brutos'!G10),"")</f>
        <v>5.78</v>
      </c>
      <c r="G11" s="40">
        <f>IF(ISNUMBER('1. Datos brutos'!H10),IF('1. Datos brutos'!H10&gt;30,"Hiper.",'1. Datos brutos'!H10),"")</f>
        <v>6.14</v>
      </c>
      <c r="H11" s="40">
        <f>IF(ISNUMBER('1. Datos brutos'!I10),IF('1. Datos brutos'!I10&gt;30,"Hiper.",'1. Datos brutos'!I10),"")</f>
        <v>6.67</v>
      </c>
      <c r="I11" s="43">
        <f>IF(ISNUMBER('1. Datos brutos'!J10),IF('1. Datos brutos'!J10&gt;30,"Hiper.",'1. Datos brutos'!J10),"")</f>
        <v>10.57</v>
      </c>
      <c r="J11" s="43">
        <f>IF(ISNUMBER('1. Datos brutos'!K10),IF('1. Datos brutos'!K10&gt;30,"Hiper.",'1. Datos brutos'!K10),"")</f>
        <v>12.04</v>
      </c>
      <c r="K11" s="41">
        <f>IF(ISNUMBER('1. Datos brutos'!L10),IF('1. Datos brutos'!L10&gt;30,"Hiper.",'1. Datos brutos'!L10),"")</f>
        <v>7.33</v>
      </c>
      <c r="L11" s="36">
        <f>IF(ISNUMBER('1. Datos brutos'!M10),IF('1. Datos brutos'!M10&gt;30,"Hiper.",'1. Datos brutos'!M10),"")</f>
        <v>3.13</v>
      </c>
      <c r="M11" s="41">
        <f>IF(ISNUMBER('1. Datos brutos'!N10),IF('1. Datos brutos'!N10&gt;30,"Hiper.",'1. Datos brutos'!N10),"")</f>
        <v>8.5500000000000007</v>
      </c>
      <c r="N11" s="41">
        <f>IF(ISNUMBER('1. Datos brutos'!O10),IF('1. Datos brutos'!O10&gt;30,"Hiper.",'1. Datos brutos'!O10),"")</f>
        <v>7.55</v>
      </c>
      <c r="O11" s="37">
        <f>IF(ISNUMBER('1. Datos brutos'!P10),IF('1. Datos brutos'!P10&gt;30,"Hiper.",'1. Datos brutos'!P10),"")</f>
        <v>2.71</v>
      </c>
      <c r="P11" s="36">
        <f>IF(ISNUMBER('1. Datos brutos'!Q10),IF('1. Datos brutos'!Q10&gt;30,"Hiper.",'1. Datos brutos'!Q10),"")</f>
        <v>4.4800000000000004</v>
      </c>
      <c r="Q11" s="37">
        <f>IF(ISNUMBER('1. Datos brutos'!R10),IF('1. Datos brutos'!R10&gt;30,"Hiper.",'1. Datos brutos'!R10),"")</f>
        <v>2.76</v>
      </c>
      <c r="R11" s="36">
        <f>IF(ISNUMBER('1. Datos brutos'!S10),IF('1. Datos brutos'!S10&gt;30,"Hiper.",'1. Datos brutos'!S10),"")</f>
        <v>4.5999999999999996</v>
      </c>
      <c r="S11" s="38">
        <f>IF(ISNUMBER('1. Datos brutos'!T10),IF('1. Datos brutos'!T10&gt;30,"Hiper.",'1. Datos brutos'!T10),"")</f>
        <v>1.62</v>
      </c>
      <c r="T11" s="39">
        <f>IF(ISNUMBER('1. Datos brutos'!U10),IF('1. Datos brutos'!U10&gt;30,"Hiper.",'1. Datos brutos'!U10),"")</f>
        <v>0.96</v>
      </c>
      <c r="U11" s="36">
        <f>IF(ISNUMBER('1. Datos brutos'!V10),IF('1. Datos brutos'!V10&gt;30,"Hiper.",'1. Datos brutos'!V10),"")</f>
        <v>3.92</v>
      </c>
      <c r="V11" s="36">
        <f>IF(ISNUMBER('1. Datos brutos'!W10),IF('1. Datos brutos'!W10&gt;30,"Hiper.",'1. Datos brutos'!W10),"")</f>
        <v>3.61</v>
      </c>
      <c r="W11" s="38">
        <f>IF(ISNUMBER('1. Datos brutos'!X10),IF('1. Datos brutos'!X10&gt;30,"Hiper.",'1. Datos brutos'!X10),"")</f>
        <v>1.4</v>
      </c>
      <c r="X11" s="42">
        <f>IF(ISNUMBER('1. Datos brutos'!Y10),IF('1. Datos brutos'!Y10&gt;30,"Hiper.",'1. Datos brutos'!Y10),"")</f>
        <v>-0.08</v>
      </c>
      <c r="Y11" s="42">
        <f>IF(ISNUMBER('1. Datos brutos'!Z10),IF('1. Datos brutos'!Z10&gt;30,"Hiper.",'1. Datos brutos'!Z10),"")</f>
        <v>-0.33</v>
      </c>
      <c r="Z11" s="42">
        <f>IF(ISNUMBER('1. Datos brutos'!AA10),IF('1. Datos brutos'!AA10&gt;30,"Hiper.",'1. Datos brutos'!AA10),"")</f>
        <v>-0.52</v>
      </c>
      <c r="AA11" s="38">
        <f>IF(ISNUMBER('1. Datos brutos'!AB10),IF('1. Datos brutos'!AB10&gt;30,"Hiper.",'1. Datos brutos'!AB10),"")</f>
        <v>1.31</v>
      </c>
      <c r="AB11" s="37">
        <f>IF(ISNUMBER('1. Datos brutos'!AC10),IF('1. Datos brutos'!AC10&gt;30,"Hiper.",'1. Datos brutos'!AC10),"")</f>
        <v>2.5099999999999998</v>
      </c>
      <c r="AC11" s="37">
        <f>IF(ISNUMBER('1. Datos brutos'!AD10),IF('1. Datos brutos'!AD10&gt;30,"Hiper.",'1. Datos brutos'!AD10),"")</f>
        <v>2.66</v>
      </c>
      <c r="AD11" s="38">
        <f>IF(ISNUMBER('1. Datos brutos'!AE10),IF('1. Datos brutos'!AE10&gt;30,"Hiper.",'1. Datos brutos'!AE10),"")</f>
        <v>1.94</v>
      </c>
      <c r="AE11" s="36">
        <f>IF(ISNUMBER('1. Datos brutos'!AF10),IF('1. Datos brutos'!AF10&gt;30,"Hiper.",'1. Datos brutos'!AF10),"")</f>
        <v>3.15</v>
      </c>
      <c r="AF11" s="43">
        <f>IF(ISNUMBER('1. Datos brutos'!AG10),IF('1. Datos brutos'!AG10&gt;30,"Hiper.",'1. Datos brutos'!AG10),"")</f>
        <v>12.77</v>
      </c>
      <c r="AG11" s="43">
        <f>IF(ISNUMBER('1. Datos brutos'!AH10),IF('1. Datos brutos'!AH10&gt;30,"Hiper.",'1. Datos brutos'!AH10),"")</f>
        <v>10.53</v>
      </c>
      <c r="AH11" s="37">
        <f>IF(ISNUMBER('1. Datos brutos'!AI10),IF('1. Datos brutos'!AI10&gt;30,"Hiper.",'1. Datos brutos'!AI10),"")</f>
        <v>2.76</v>
      </c>
      <c r="AI11" s="39">
        <f>IF(ISNUMBER('1. Datos brutos'!AJ10),IF('1. Datos brutos'!AJ10&gt;30,"Hiper.",'1. Datos brutos'!AJ10),"")</f>
        <v>0</v>
      </c>
    </row>
    <row r="12" spans="1:35" x14ac:dyDescent="0.35">
      <c r="A12" s="35" t="str">
        <f>'1. Datos brutos'!B11</f>
        <v>Eslovenia</v>
      </c>
      <c r="B12" s="5" t="str">
        <f>'1. Datos brutos'!C11</f>
        <v>Eurozona core</v>
      </c>
      <c r="C12" s="13" t="str">
        <f>IF(ISNUMBER('1. Datos brutos'!D11),IF('1. Datos brutos'!D11&gt;30,"Hiper.",'1. Datos brutos'!D11),"")</f>
        <v>Hiper.</v>
      </c>
      <c r="D12" s="43">
        <f>IF(ISNUMBER('1. Datos brutos'!E11),IF('1. Datos brutos'!E11&gt;30,"Hiper.",'1. Datos brutos'!E11),"")</f>
        <v>20.99</v>
      </c>
      <c r="E12" s="43">
        <f>IF(ISNUMBER('1. Datos brutos'!F11),IF('1. Datos brutos'!F11&gt;30,"Hiper.",'1. Datos brutos'!F11),"")</f>
        <v>13.46</v>
      </c>
      <c r="F12" s="41">
        <f>IF(ISNUMBER('1. Datos brutos'!G11),IF('1. Datos brutos'!G11&gt;30,"Hiper.",'1. Datos brutos'!G11),"")</f>
        <v>9.86</v>
      </c>
      <c r="G12" s="41">
        <f>IF(ISNUMBER('1. Datos brutos'!H11),IF('1. Datos brutos'!H11&gt;30,"Hiper.",'1. Datos brutos'!H11),"")</f>
        <v>8.36</v>
      </c>
      <c r="H12" s="41">
        <f>IF(ISNUMBER('1. Datos brutos'!I11),IF('1. Datos brutos'!I11&gt;30,"Hiper.",'1. Datos brutos'!I11),"")</f>
        <v>7.89</v>
      </c>
      <c r="I12" s="40">
        <f>IF(ISNUMBER('1. Datos brutos'!J11),IF('1. Datos brutos'!J11&gt;30,"Hiper.",'1. Datos brutos'!J11),"")</f>
        <v>6.16</v>
      </c>
      <c r="J12" s="41">
        <f>IF(ISNUMBER('1. Datos brutos'!K11),IF('1. Datos brutos'!K11&gt;30,"Hiper.",'1. Datos brutos'!K11),"")</f>
        <v>8.91</v>
      </c>
      <c r="K12" s="41">
        <f>IF(ISNUMBER('1. Datos brutos'!L11),IF('1. Datos brutos'!L11&gt;30,"Hiper.",'1. Datos brutos'!L11),"")</f>
        <v>8.3800000000000008</v>
      </c>
      <c r="L12" s="41">
        <f>IF(ISNUMBER('1. Datos brutos'!M11),IF('1. Datos brutos'!M11&gt;30,"Hiper.",'1. Datos brutos'!M11),"")</f>
        <v>7.48</v>
      </c>
      <c r="M12" s="40">
        <f>IF(ISNUMBER('1. Datos brutos'!N11),IF('1. Datos brutos'!N11&gt;30,"Hiper.",'1. Datos brutos'!N11),"")</f>
        <v>5.54</v>
      </c>
      <c r="N12" s="36">
        <f>IF(ISNUMBER('1. Datos brutos'!O11),IF('1. Datos brutos'!O11&gt;30,"Hiper.",'1. Datos brutos'!O11),"")</f>
        <v>3.59</v>
      </c>
      <c r="O12" s="37">
        <f>IF(ISNUMBER('1. Datos brutos'!P11),IF('1. Datos brutos'!P11&gt;30,"Hiper.",'1. Datos brutos'!P11),"")</f>
        <v>2.4500000000000002</v>
      </c>
      <c r="P12" s="37">
        <f>IF(ISNUMBER('1. Datos brutos'!Q11),IF('1. Datos brutos'!Q11&gt;30,"Hiper.",'1. Datos brutos'!Q11),"")</f>
        <v>2.46</v>
      </c>
      <c r="Q12" s="36">
        <f>IF(ISNUMBER('1. Datos brutos'!R11),IF('1. Datos brutos'!R11&gt;30,"Hiper.",'1. Datos brutos'!R11),"")</f>
        <v>3.66</v>
      </c>
      <c r="R12" s="40">
        <f>IF(ISNUMBER('1. Datos brutos'!S11),IF('1. Datos brutos'!S11&gt;30,"Hiper.",'1. Datos brutos'!S11),"")</f>
        <v>5.65</v>
      </c>
      <c r="S12" s="39">
        <f>IF(ISNUMBER('1. Datos brutos'!T11),IF('1. Datos brutos'!T11&gt;30,"Hiper.",'1. Datos brutos'!T11),"")</f>
        <v>0.84</v>
      </c>
      <c r="T12" s="38">
        <f>IF(ISNUMBER('1. Datos brutos'!U11),IF('1. Datos brutos'!U11&gt;30,"Hiper.",'1. Datos brutos'!U11),"")</f>
        <v>1.8</v>
      </c>
      <c r="U12" s="38">
        <f>IF(ISNUMBER('1. Datos brutos'!V11),IF('1. Datos brutos'!V11&gt;30,"Hiper.",'1. Datos brutos'!V11),"")</f>
        <v>1.8</v>
      </c>
      <c r="V12" s="37">
        <f>IF(ISNUMBER('1. Datos brutos'!W11),IF('1. Datos brutos'!W11&gt;30,"Hiper.",'1. Datos brutos'!W11),"")</f>
        <v>2.6</v>
      </c>
      <c r="W12" s="38">
        <f>IF(ISNUMBER('1. Datos brutos'!X11),IF('1. Datos brutos'!X11&gt;30,"Hiper.",'1. Datos brutos'!X11),"")</f>
        <v>1.77</v>
      </c>
      <c r="X12" s="39">
        <f>IF(ISNUMBER('1. Datos brutos'!Y11),IF('1. Datos brutos'!Y11&gt;30,"Hiper.",'1. Datos brutos'!Y11),"")</f>
        <v>0.2</v>
      </c>
      <c r="Y12" s="42">
        <f>IF(ISNUMBER('1. Datos brutos'!Z11),IF('1. Datos brutos'!Z11&gt;30,"Hiper.",'1. Datos brutos'!Z11),"")</f>
        <v>-0.53</v>
      </c>
      <c r="Z12" s="42">
        <f>IF(ISNUMBER('1. Datos brutos'!AA11),IF('1. Datos brutos'!AA11&gt;30,"Hiper.",'1. Datos brutos'!AA11),"")</f>
        <v>-0.05</v>
      </c>
      <c r="AA12" s="38">
        <f>IF(ISNUMBER('1. Datos brutos'!AB11),IF('1. Datos brutos'!AB11&gt;30,"Hiper.",'1. Datos brutos'!AB11),"")</f>
        <v>1.43</v>
      </c>
      <c r="AB12" s="38">
        <f>IF(ISNUMBER('1. Datos brutos'!AC11),IF('1. Datos brutos'!AC11&gt;30,"Hiper.",'1. Datos brutos'!AC11),"")</f>
        <v>1.74</v>
      </c>
      <c r="AC12" s="38">
        <f>IF(ISNUMBER('1. Datos brutos'!AD11),IF('1. Datos brutos'!AD11&gt;30,"Hiper.",'1. Datos brutos'!AD11),"")</f>
        <v>1.63</v>
      </c>
      <c r="AD12" s="42">
        <f>IF(ISNUMBER('1. Datos brutos'!AE11),IF('1. Datos brutos'!AE11&gt;30,"Hiper.",'1. Datos brutos'!AE11),"")</f>
        <v>-0.05</v>
      </c>
      <c r="AE12" s="38">
        <f>IF(ISNUMBER('1. Datos brutos'!AF11),IF('1. Datos brutos'!AF11&gt;30,"Hiper.",'1. Datos brutos'!AF11),"")</f>
        <v>1.92</v>
      </c>
      <c r="AF12" s="41">
        <f>IF(ISNUMBER('1. Datos brutos'!AG11),IF('1. Datos brutos'!AG11&gt;30,"Hiper.",'1. Datos brutos'!AG11),"")</f>
        <v>8.83</v>
      </c>
      <c r="AG12" s="41">
        <f>IF(ISNUMBER('1. Datos brutos'!AH11),IF('1. Datos brutos'!AH11&gt;30,"Hiper.",'1. Datos brutos'!AH11),"")</f>
        <v>7.45</v>
      </c>
      <c r="AH12" s="38">
        <f>IF(ISNUMBER('1. Datos brutos'!AI11),IF('1. Datos brutos'!AI11&gt;30,"Hiper.",'1. Datos brutos'!AI11),"")</f>
        <v>1.97</v>
      </c>
      <c r="AI12" s="39">
        <f>IF(ISNUMBER('1. Datos brutos'!AJ11),IF('1. Datos brutos'!AJ11&gt;30,"Hiper.",'1. Datos brutos'!AJ11),"")</f>
        <v>0</v>
      </c>
    </row>
    <row r="13" spans="1:35" x14ac:dyDescent="0.35">
      <c r="A13" s="35" t="str">
        <f>'1. Datos brutos'!B12</f>
        <v>España</v>
      </c>
      <c r="B13" s="5" t="str">
        <f>'1. Datos brutos'!C12</f>
        <v>Eurozona core</v>
      </c>
      <c r="C13" s="36">
        <f>IF(ISNUMBER('1. Datos brutos'!D12),IF('1. Datos brutos'!D12&gt;30,"Hiper.",'1. Datos brutos'!D12),"")</f>
        <v>4.57</v>
      </c>
      <c r="D13" s="36">
        <f>IF(ISNUMBER('1. Datos brutos'!E12),IF('1. Datos brutos'!E12&gt;30,"Hiper.",'1. Datos brutos'!E12),"")</f>
        <v>4.72</v>
      </c>
      <c r="E13" s="36">
        <f>IF(ISNUMBER('1. Datos brutos'!F12),IF('1. Datos brutos'!F12&gt;30,"Hiper.",'1. Datos brutos'!F12),"")</f>
        <v>4.67</v>
      </c>
      <c r="F13" s="36">
        <f>IF(ISNUMBER('1. Datos brutos'!G12),IF('1. Datos brutos'!G12&gt;30,"Hiper.",'1. Datos brutos'!G12),"")</f>
        <v>3.56</v>
      </c>
      <c r="G13" s="38">
        <f>IF(ISNUMBER('1. Datos brutos'!H12),IF('1. Datos brutos'!H12&gt;30,"Hiper.",'1. Datos brutos'!H12),"")</f>
        <v>1.97</v>
      </c>
      <c r="H13" s="38">
        <f>IF(ISNUMBER('1. Datos brutos'!I12),IF('1. Datos brutos'!I12&gt;30,"Hiper.",'1. Datos brutos'!I12),"")</f>
        <v>1.83</v>
      </c>
      <c r="I13" s="37">
        <f>IF(ISNUMBER('1. Datos brutos'!J12),IF('1. Datos brutos'!J12&gt;30,"Hiper.",'1. Datos brutos'!J12),"")</f>
        <v>2.31</v>
      </c>
      <c r="J13" s="36">
        <f>IF(ISNUMBER('1. Datos brutos'!K12),IF('1. Datos brutos'!K12&gt;30,"Hiper.",'1. Datos brutos'!K12),"")</f>
        <v>3.43</v>
      </c>
      <c r="K13" s="36">
        <f>IF(ISNUMBER('1. Datos brutos'!L12),IF('1. Datos brutos'!L12&gt;30,"Hiper.",'1. Datos brutos'!L12),"")</f>
        <v>3.59</v>
      </c>
      <c r="L13" s="36">
        <f>IF(ISNUMBER('1. Datos brutos'!M12),IF('1. Datos brutos'!M12&gt;30,"Hiper.",'1. Datos brutos'!M12),"")</f>
        <v>3.07</v>
      </c>
      <c r="M13" s="36">
        <f>IF(ISNUMBER('1. Datos brutos'!N12),IF('1. Datos brutos'!N12&gt;30,"Hiper.",'1. Datos brutos'!N12),"")</f>
        <v>3.04</v>
      </c>
      <c r="N13" s="36">
        <f>IF(ISNUMBER('1. Datos brutos'!O12),IF('1. Datos brutos'!O12&gt;30,"Hiper.",'1. Datos brutos'!O12),"")</f>
        <v>3.04</v>
      </c>
      <c r="O13" s="36">
        <f>IF(ISNUMBER('1. Datos brutos'!P12),IF('1. Datos brutos'!P12&gt;30,"Hiper.",'1. Datos brutos'!P12),"")</f>
        <v>3.37</v>
      </c>
      <c r="P13" s="36">
        <f>IF(ISNUMBER('1. Datos brutos'!Q12),IF('1. Datos brutos'!Q12&gt;30,"Hiper.",'1. Datos brutos'!Q12),"")</f>
        <v>3.52</v>
      </c>
      <c r="Q13" s="37">
        <f>IF(ISNUMBER('1. Datos brutos'!R12),IF('1. Datos brutos'!R12&gt;30,"Hiper.",'1. Datos brutos'!R12),"")</f>
        <v>2.79</v>
      </c>
      <c r="R13" s="36">
        <f>IF(ISNUMBER('1. Datos brutos'!S12),IF('1. Datos brutos'!S12&gt;30,"Hiper.",'1. Datos brutos'!S12),"")</f>
        <v>4.08</v>
      </c>
      <c r="S13" s="42">
        <f>IF(ISNUMBER('1. Datos brutos'!T12),IF('1. Datos brutos'!T12&gt;30,"Hiper.",'1. Datos brutos'!T12),"")</f>
        <v>-0.28999999999999998</v>
      </c>
      <c r="T13" s="38">
        <f>IF(ISNUMBER('1. Datos brutos'!U12),IF('1. Datos brutos'!U12&gt;30,"Hiper.",'1. Datos brutos'!U12),"")</f>
        <v>1.8</v>
      </c>
      <c r="U13" s="36">
        <f>IF(ISNUMBER('1. Datos brutos'!V12),IF('1. Datos brutos'!V12&gt;30,"Hiper.",'1. Datos brutos'!V12),"")</f>
        <v>3.2</v>
      </c>
      <c r="V13" s="37">
        <f>IF(ISNUMBER('1. Datos brutos'!W12),IF('1. Datos brutos'!W12&gt;30,"Hiper.",'1. Datos brutos'!W12),"")</f>
        <v>2.4500000000000002</v>
      </c>
      <c r="W13" s="38">
        <f>IF(ISNUMBER('1. Datos brutos'!X12),IF('1. Datos brutos'!X12&gt;30,"Hiper.",'1. Datos brutos'!X12),"")</f>
        <v>1.41</v>
      </c>
      <c r="X13" s="42">
        <f>IF(ISNUMBER('1. Datos brutos'!Y12),IF('1. Datos brutos'!Y12&gt;30,"Hiper.",'1. Datos brutos'!Y12),"")</f>
        <v>-0.15</v>
      </c>
      <c r="Y13" s="42">
        <f>IF(ISNUMBER('1. Datos brutos'!Z12),IF('1. Datos brutos'!Z12&gt;30,"Hiper.",'1. Datos brutos'!Z12),"")</f>
        <v>-0.5</v>
      </c>
      <c r="Z13" s="42">
        <f>IF(ISNUMBER('1. Datos brutos'!AA12),IF('1. Datos brutos'!AA12&gt;30,"Hiper.",'1. Datos brutos'!AA12),"")</f>
        <v>-0.2</v>
      </c>
      <c r="AA13" s="38">
        <f>IF(ISNUMBER('1. Datos brutos'!AB12),IF('1. Datos brutos'!AB12&gt;30,"Hiper.",'1. Datos brutos'!AB12),"")</f>
        <v>1.96</v>
      </c>
      <c r="AB13" s="38">
        <f>IF(ISNUMBER('1. Datos brutos'!AC12),IF('1. Datos brutos'!AC12&gt;30,"Hiper.",'1. Datos brutos'!AC12),"")</f>
        <v>1.67</v>
      </c>
      <c r="AC13" s="39">
        <f>IF(ISNUMBER('1. Datos brutos'!AD12),IF('1. Datos brutos'!AD12&gt;30,"Hiper.",'1. Datos brutos'!AD12),"")</f>
        <v>0.7</v>
      </c>
      <c r="AD13" s="42">
        <f>IF(ISNUMBER('1. Datos brutos'!AE12),IF('1. Datos brutos'!AE12&gt;30,"Hiper.",'1. Datos brutos'!AE12),"")</f>
        <v>-0.32</v>
      </c>
      <c r="AE13" s="36">
        <f>IF(ISNUMBER('1. Datos brutos'!AF12),IF('1. Datos brutos'!AF12&gt;30,"Hiper.",'1. Datos brutos'!AF12),"")</f>
        <v>3.09</v>
      </c>
      <c r="AF13" s="41">
        <f>IF(ISNUMBER('1. Datos brutos'!AG12),IF('1. Datos brutos'!AG12&gt;30,"Hiper.",'1. Datos brutos'!AG12),"")</f>
        <v>8.39</v>
      </c>
      <c r="AG13" s="36">
        <f>IF(ISNUMBER('1. Datos brutos'!AH12),IF('1. Datos brutos'!AH12&gt;30,"Hiper.",'1. Datos brutos'!AH12),"")</f>
        <v>3.53</v>
      </c>
      <c r="AH13" s="37">
        <f>IF(ISNUMBER('1. Datos brutos'!AI12),IF('1. Datos brutos'!AI12&gt;30,"Hiper.",'1. Datos brutos'!AI12),"")</f>
        <v>2.77</v>
      </c>
      <c r="AI13" s="39">
        <f>IF(ISNUMBER('1. Datos brutos'!AJ12),IF('1. Datos brutos'!AJ12&gt;30,"Hiper.",'1. Datos brutos'!AJ12),"")</f>
        <v>0</v>
      </c>
    </row>
    <row r="14" spans="1:35" x14ac:dyDescent="0.35">
      <c r="A14" s="35" t="str">
        <f>'1. Datos brutos'!B13</f>
        <v>Estonia</v>
      </c>
      <c r="B14" s="10" t="str">
        <f>'1. Datos brutos'!C13</f>
        <v>Bálticos</v>
      </c>
      <c r="C14" s="13" t="str">
        <f>IF(ISNUMBER('1. Datos brutos'!D13),IF('1. Datos brutos'!D13&gt;30,"Hiper.",'1. Datos brutos'!D13),"")</f>
        <v>Hiper.</v>
      </c>
      <c r="D14" s="13" t="str">
        <f>IF(ISNUMBER('1. Datos brutos'!E13),IF('1. Datos brutos'!E13&gt;30,"Hiper.",'1. Datos brutos'!E13),"")</f>
        <v>Hiper.</v>
      </c>
      <c r="E14" s="43">
        <f>IF(ISNUMBER('1. Datos brutos'!F13),IF('1. Datos brutos'!F13&gt;30,"Hiper.",'1. Datos brutos'!F13),"")</f>
        <v>28.78</v>
      </c>
      <c r="F14" s="43">
        <f>IF(ISNUMBER('1. Datos brutos'!G13),IF('1. Datos brutos'!G13&gt;30,"Hiper.",'1. Datos brutos'!G13),"")</f>
        <v>23.05</v>
      </c>
      <c r="G14" s="43">
        <f>IF(ISNUMBER('1. Datos brutos'!H13),IF('1. Datos brutos'!H13&gt;30,"Hiper.",'1. Datos brutos'!H13),"")</f>
        <v>10.58</v>
      </c>
      <c r="H14" s="41">
        <f>IF(ISNUMBER('1. Datos brutos'!I13),IF('1. Datos brutos'!I13&gt;30,"Hiper.",'1. Datos brutos'!I13),"")</f>
        <v>8.2100000000000009</v>
      </c>
      <c r="I14" s="36">
        <f>IF(ISNUMBER('1. Datos brutos'!J13),IF('1. Datos brutos'!J13&gt;30,"Hiper.",'1. Datos brutos'!J13),"")</f>
        <v>3.3</v>
      </c>
      <c r="J14" s="36">
        <f>IF(ISNUMBER('1. Datos brutos'!K13),IF('1. Datos brutos'!K13&gt;30,"Hiper.",'1. Datos brutos'!K13),"")</f>
        <v>4.0199999999999996</v>
      </c>
      <c r="K14" s="40">
        <f>IF(ISNUMBER('1. Datos brutos'!L13),IF('1. Datos brutos'!L13&gt;30,"Hiper.",'1. Datos brutos'!L13),"")</f>
        <v>5.75</v>
      </c>
      <c r="L14" s="36">
        <f>IF(ISNUMBER('1. Datos brutos'!M13),IF('1. Datos brutos'!M13&gt;30,"Hiper.",'1. Datos brutos'!M13),"")</f>
        <v>3.57</v>
      </c>
      <c r="M14" s="38">
        <f>IF(ISNUMBER('1. Datos brutos'!N13),IF('1. Datos brutos'!N13&gt;30,"Hiper.",'1. Datos brutos'!N13),"")</f>
        <v>1.33</v>
      </c>
      <c r="N14" s="36">
        <f>IF(ISNUMBER('1. Datos brutos'!O13),IF('1. Datos brutos'!O13&gt;30,"Hiper.",'1. Datos brutos'!O13),"")</f>
        <v>3.05</v>
      </c>
      <c r="O14" s="36">
        <f>IF(ISNUMBER('1. Datos brutos'!P13),IF('1. Datos brutos'!P13&gt;30,"Hiper.",'1. Datos brutos'!P13),"")</f>
        <v>4.08</v>
      </c>
      <c r="P14" s="36">
        <f>IF(ISNUMBER('1. Datos brutos'!Q13),IF('1. Datos brutos'!Q13&gt;30,"Hiper.",'1. Datos brutos'!Q13),"")</f>
        <v>4.4400000000000004</v>
      </c>
      <c r="Q14" s="40">
        <f>IF(ISNUMBER('1. Datos brutos'!R13),IF('1. Datos brutos'!R13&gt;30,"Hiper.",'1. Datos brutos'!R13),"")</f>
        <v>6.6</v>
      </c>
      <c r="R14" s="43">
        <f>IF(ISNUMBER('1. Datos brutos'!S13),IF('1. Datos brutos'!S13&gt;30,"Hiper.",'1. Datos brutos'!S13),"")</f>
        <v>10.36</v>
      </c>
      <c r="S14" s="42">
        <f>IF(ISNUMBER('1. Datos brutos'!T13),IF('1. Datos brutos'!T13&gt;30,"Hiper.",'1. Datos brutos'!T13),"")</f>
        <v>-0.08</v>
      </c>
      <c r="T14" s="37">
        <f>IF(ISNUMBER('1. Datos brutos'!U13),IF('1. Datos brutos'!U13&gt;30,"Hiper.",'1. Datos brutos'!U13),"")</f>
        <v>2.97</v>
      </c>
      <c r="U14" s="36">
        <f>IF(ISNUMBER('1. Datos brutos'!V13),IF('1. Datos brutos'!V13&gt;30,"Hiper.",'1. Datos brutos'!V13),"")</f>
        <v>4.9800000000000004</v>
      </c>
      <c r="V14" s="36">
        <f>IF(ISNUMBER('1. Datos brutos'!W13),IF('1. Datos brutos'!W13&gt;30,"Hiper.",'1. Datos brutos'!W13),"")</f>
        <v>3.93</v>
      </c>
      <c r="W14" s="37">
        <f>IF(ISNUMBER('1. Datos brutos'!X13),IF('1. Datos brutos'!X13&gt;30,"Hiper.",'1. Datos brutos'!X13),"")</f>
        <v>2.78</v>
      </c>
      <c r="X14" s="42">
        <f>IF(ISNUMBER('1. Datos brutos'!Y13),IF('1. Datos brutos'!Y13&gt;30,"Hiper.",'1. Datos brutos'!Y13),"")</f>
        <v>-0.11</v>
      </c>
      <c r="Y14" s="42">
        <f>IF(ISNUMBER('1. Datos brutos'!Z13),IF('1. Datos brutos'!Z13&gt;30,"Hiper.",'1. Datos brutos'!Z13),"")</f>
        <v>-0.49</v>
      </c>
      <c r="Z14" s="39">
        <f>IF(ISNUMBER('1. Datos brutos'!AA13),IF('1. Datos brutos'!AA13&gt;30,"Hiper.",'1. Datos brutos'!AA13),"")</f>
        <v>0.15</v>
      </c>
      <c r="AA14" s="36">
        <f>IF(ISNUMBER('1. Datos brutos'!AB13),IF('1. Datos brutos'!AB13&gt;30,"Hiper.",'1. Datos brutos'!AB13),"")</f>
        <v>3.42</v>
      </c>
      <c r="AB14" s="36">
        <f>IF(ISNUMBER('1. Datos brutos'!AC13),IF('1. Datos brutos'!AC13&gt;30,"Hiper.",'1. Datos brutos'!AC13),"")</f>
        <v>3.44</v>
      </c>
      <c r="AC14" s="37">
        <f>IF(ISNUMBER('1. Datos brutos'!AD13),IF('1. Datos brutos'!AD13&gt;30,"Hiper.",'1. Datos brutos'!AD13),"")</f>
        <v>2.2799999999999998</v>
      </c>
      <c r="AD14" s="42">
        <f>IF(ISNUMBER('1. Datos brutos'!AE13),IF('1. Datos brutos'!AE13&gt;30,"Hiper.",'1. Datos brutos'!AE13),"")</f>
        <v>-0.44</v>
      </c>
      <c r="AE14" s="36">
        <f>IF(ISNUMBER('1. Datos brutos'!AF13),IF('1. Datos brutos'!AF13&gt;30,"Hiper.",'1. Datos brutos'!AF13),"")</f>
        <v>4.6500000000000004</v>
      </c>
      <c r="AF14" s="43">
        <f>IF(ISNUMBER('1. Datos brutos'!AG13),IF('1. Datos brutos'!AG13&gt;30,"Hiper.",'1. Datos brutos'!AG13),"")</f>
        <v>19.399999999999999</v>
      </c>
      <c r="AG14" s="41">
        <f>IF(ISNUMBER('1. Datos brutos'!AH13),IF('1. Datos brutos'!AH13&gt;30,"Hiper.",'1. Datos brutos'!AH13),"")</f>
        <v>9.16</v>
      </c>
      <c r="AH14" s="36">
        <f>IF(ISNUMBER('1. Datos brutos'!AI13),IF('1. Datos brutos'!AI13&gt;30,"Hiper.",'1. Datos brutos'!AI13),"")</f>
        <v>3.52</v>
      </c>
      <c r="AI14" s="39">
        <f>IF(ISNUMBER('1. Datos brutos'!AJ13),IF('1. Datos brutos'!AJ13&gt;30,"Hiper.",'1. Datos brutos'!AJ13),"")</f>
        <v>0</v>
      </c>
    </row>
    <row r="15" spans="1:35" x14ac:dyDescent="0.35">
      <c r="A15" s="35" t="str">
        <f>'1. Datos brutos'!B14</f>
        <v>Finlandia</v>
      </c>
      <c r="B15" s="5" t="str">
        <f>'1. Datos brutos'!C14</f>
        <v>Eurozona core</v>
      </c>
      <c r="C15" s="37">
        <f>IF(ISNUMBER('1. Datos brutos'!D14),IF('1. Datos brutos'!D14&gt;30,"Hiper.",'1. Datos brutos'!D14),"")</f>
        <v>2.19</v>
      </c>
      <c r="D15" s="38">
        <f>IF(ISNUMBER('1. Datos brutos'!E14),IF('1. Datos brutos'!E14&gt;30,"Hiper.",'1. Datos brutos'!E14),"")</f>
        <v>1.0900000000000001</v>
      </c>
      <c r="E15" s="39">
        <f>IF(ISNUMBER('1. Datos brutos'!F14),IF('1. Datos brutos'!F14&gt;30,"Hiper.",'1. Datos brutos'!F14),"")</f>
        <v>0.79</v>
      </c>
      <c r="F15" s="39">
        <f>IF(ISNUMBER('1. Datos brutos'!G14),IF('1. Datos brutos'!G14&gt;30,"Hiper.",'1. Datos brutos'!G14),"")</f>
        <v>0.63</v>
      </c>
      <c r="G15" s="38">
        <f>IF(ISNUMBER('1. Datos brutos'!H14),IF('1. Datos brutos'!H14&gt;30,"Hiper.",'1. Datos brutos'!H14),"")</f>
        <v>1.19</v>
      </c>
      <c r="H15" s="38">
        <f>IF(ISNUMBER('1. Datos brutos'!I14),IF('1. Datos brutos'!I14&gt;30,"Hiper.",'1. Datos brutos'!I14),"")</f>
        <v>1.4</v>
      </c>
      <c r="I15" s="38">
        <f>IF(ISNUMBER('1. Datos brutos'!J14),IF('1. Datos brutos'!J14&gt;30,"Hiper.",'1. Datos brutos'!J14),"")</f>
        <v>1.1599999999999999</v>
      </c>
      <c r="J15" s="36">
        <f>IF(ISNUMBER('1. Datos brutos'!K14),IF('1. Datos brutos'!K14&gt;30,"Hiper.",'1. Datos brutos'!K14),"")</f>
        <v>3.04</v>
      </c>
      <c r="K15" s="37">
        <f>IF(ISNUMBER('1. Datos brutos'!L14),IF('1. Datos brutos'!L14&gt;30,"Hiper.",'1. Datos brutos'!L14),"")</f>
        <v>2.58</v>
      </c>
      <c r="L15" s="38">
        <f>IF(ISNUMBER('1. Datos brutos'!M14),IF('1. Datos brutos'!M14&gt;30,"Hiper.",'1. Datos brutos'!M14),"")</f>
        <v>1.57</v>
      </c>
      <c r="M15" s="39">
        <f>IF(ISNUMBER('1. Datos brutos'!N14),IF('1. Datos brutos'!N14&gt;30,"Hiper.",'1. Datos brutos'!N14),"")</f>
        <v>0.88</v>
      </c>
      <c r="N15" s="39">
        <f>IF(ISNUMBER('1. Datos brutos'!O14),IF('1. Datos brutos'!O14&gt;30,"Hiper.",'1. Datos brutos'!O14),"")</f>
        <v>0.19</v>
      </c>
      <c r="O15" s="39">
        <f>IF(ISNUMBER('1. Datos brutos'!P14),IF('1. Datos brutos'!P14&gt;30,"Hiper.",'1. Datos brutos'!P14),"")</f>
        <v>0.62</v>
      </c>
      <c r="P15" s="38">
        <f>IF(ISNUMBER('1. Datos brutos'!Q14),IF('1. Datos brutos'!Q14&gt;30,"Hiper.",'1. Datos brutos'!Q14),"")</f>
        <v>1.57</v>
      </c>
      <c r="Q15" s="37">
        <f>IF(ISNUMBER('1. Datos brutos'!R14),IF('1. Datos brutos'!R14&gt;30,"Hiper.",'1. Datos brutos'!R14),"")</f>
        <v>2.5099999999999998</v>
      </c>
      <c r="R15" s="36">
        <f>IF(ISNUMBER('1. Datos brutos'!S14),IF('1. Datos brutos'!S14&gt;30,"Hiper.",'1. Datos brutos'!S14),"")</f>
        <v>4.07</v>
      </c>
      <c r="S15" s="39">
        <f>IF(ISNUMBER('1. Datos brutos'!T14),IF('1. Datos brutos'!T14&gt;30,"Hiper.",'1. Datos brutos'!T14),"")</f>
        <v>0</v>
      </c>
      <c r="T15" s="38">
        <f>IF(ISNUMBER('1. Datos brutos'!U14),IF('1. Datos brutos'!U14&gt;30,"Hiper.",'1. Datos brutos'!U14),"")</f>
        <v>1.18</v>
      </c>
      <c r="U15" s="36">
        <f>IF(ISNUMBER('1. Datos brutos'!V14),IF('1. Datos brutos'!V14&gt;30,"Hiper.",'1. Datos brutos'!V14),"")</f>
        <v>3.42</v>
      </c>
      <c r="V15" s="37">
        <f>IF(ISNUMBER('1. Datos brutos'!W14),IF('1. Datos brutos'!W14&gt;30,"Hiper.",'1. Datos brutos'!W14),"")</f>
        <v>2.81</v>
      </c>
      <c r="W15" s="38">
        <f>IF(ISNUMBER('1. Datos brutos'!X14),IF('1. Datos brutos'!X14&gt;30,"Hiper.",'1. Datos brutos'!X14),"")</f>
        <v>1.48</v>
      </c>
      <c r="X15" s="38">
        <f>IF(ISNUMBER('1. Datos brutos'!Y14),IF('1. Datos brutos'!Y14&gt;30,"Hiper.",'1. Datos brutos'!Y14),"")</f>
        <v>1.04</v>
      </c>
      <c r="Y15" s="42">
        <f>IF(ISNUMBER('1. Datos brutos'!Z14),IF('1. Datos brutos'!Z14&gt;30,"Hiper.",'1. Datos brutos'!Z14),"")</f>
        <v>-0.21</v>
      </c>
      <c r="Z15" s="39">
        <f>IF(ISNUMBER('1. Datos brutos'!AA14),IF('1. Datos brutos'!AA14&gt;30,"Hiper.",'1. Datos brutos'!AA14),"")</f>
        <v>0.36</v>
      </c>
      <c r="AA15" s="39">
        <f>IF(ISNUMBER('1. Datos brutos'!AB14),IF('1. Datos brutos'!AB14&gt;30,"Hiper.",'1. Datos brutos'!AB14),"")</f>
        <v>0.75</v>
      </c>
      <c r="AB15" s="38">
        <f>IF(ISNUMBER('1. Datos brutos'!AC14),IF('1. Datos brutos'!AC14&gt;30,"Hiper.",'1. Datos brutos'!AC14),"")</f>
        <v>1.08</v>
      </c>
      <c r="AC15" s="38">
        <f>IF(ISNUMBER('1. Datos brutos'!AD14),IF('1. Datos brutos'!AD14&gt;30,"Hiper.",'1. Datos brutos'!AD14),"")</f>
        <v>1.02</v>
      </c>
      <c r="AD15" s="39">
        <f>IF(ISNUMBER('1. Datos brutos'!AE14),IF('1. Datos brutos'!AE14&gt;30,"Hiper.",'1. Datos brutos'!AE14),"")</f>
        <v>0.28999999999999998</v>
      </c>
      <c r="AE15" s="37">
        <f>IF(ISNUMBER('1. Datos brutos'!AF14),IF('1. Datos brutos'!AF14&gt;30,"Hiper.",'1. Datos brutos'!AF14),"")</f>
        <v>2.19</v>
      </c>
      <c r="AF15" s="41">
        <f>IF(ISNUMBER('1. Datos brutos'!AG14),IF('1. Datos brutos'!AG14&gt;30,"Hiper.",'1. Datos brutos'!AG14),"")</f>
        <v>7.12</v>
      </c>
      <c r="AG15" s="40">
        <f>IF(ISNUMBER('1. Datos brutos'!AH14),IF('1. Datos brutos'!AH14&gt;30,"Hiper.",'1. Datos brutos'!AH14),"")</f>
        <v>6.25</v>
      </c>
      <c r="AH15" s="38">
        <f>IF(ISNUMBER('1. Datos brutos'!AI14),IF('1. Datos brutos'!AI14&gt;30,"Hiper.",'1. Datos brutos'!AI14),"")</f>
        <v>1.57</v>
      </c>
      <c r="AI15" s="39">
        <f>IF(ISNUMBER('1. Datos brutos'!AJ14),IF('1. Datos brutos'!AJ14&gt;30,"Hiper.",'1. Datos brutos'!AJ14),"")</f>
        <v>0</v>
      </c>
    </row>
    <row r="16" spans="1:35" x14ac:dyDescent="0.35">
      <c r="A16" s="35" t="str">
        <f>'1. Datos brutos'!B15</f>
        <v>Francia</v>
      </c>
      <c r="B16" s="5" t="str">
        <f>'1. Datos brutos'!C15</f>
        <v>Eurozona core</v>
      </c>
      <c r="C16" s="37">
        <f>IF(ISNUMBER('1. Datos brutos'!D15),IF('1. Datos brutos'!D15&gt;30,"Hiper.",'1. Datos brutos'!D15),"")</f>
        <v>2.1</v>
      </c>
      <c r="D16" s="38">
        <f>IF(ISNUMBER('1. Datos brutos'!E15),IF('1. Datos brutos'!E15&gt;30,"Hiper.",'1. Datos brutos'!E15),"")</f>
        <v>1.66</v>
      </c>
      <c r="E16" s="38">
        <f>IF(ISNUMBER('1. Datos brutos'!F15),IF('1. Datos brutos'!F15&gt;30,"Hiper.",'1. Datos brutos'!F15),"")</f>
        <v>1.8</v>
      </c>
      <c r="F16" s="38">
        <f>IF(ISNUMBER('1. Datos brutos'!G15),IF('1. Datos brutos'!G15&gt;30,"Hiper.",'1. Datos brutos'!G15),"")</f>
        <v>1.98</v>
      </c>
      <c r="G16" s="38">
        <f>IF(ISNUMBER('1. Datos brutos'!H15),IF('1. Datos brutos'!H15&gt;30,"Hiper.",'1. Datos brutos'!H15),"")</f>
        <v>1.2</v>
      </c>
      <c r="H16" s="39">
        <f>IF(ISNUMBER('1. Datos brutos'!I15),IF('1. Datos brutos'!I15&gt;30,"Hiper.",'1. Datos brutos'!I15),"")</f>
        <v>0.65</v>
      </c>
      <c r="I16" s="39">
        <f>IF(ISNUMBER('1. Datos brutos'!J15),IF('1. Datos brutos'!J15&gt;30,"Hiper.",'1. Datos brutos'!J15),"")</f>
        <v>0.54</v>
      </c>
      <c r="J16" s="38">
        <f>IF(ISNUMBER('1. Datos brutos'!K15),IF('1. Datos brutos'!K15&gt;30,"Hiper.",'1. Datos brutos'!K15),"")</f>
        <v>1.68</v>
      </c>
      <c r="K16" s="38">
        <f>IF(ISNUMBER('1. Datos brutos'!L15),IF('1. Datos brutos'!L15&gt;30,"Hiper.",'1. Datos brutos'!L15),"")</f>
        <v>1.63</v>
      </c>
      <c r="L16" s="38">
        <f>IF(ISNUMBER('1. Datos brutos'!M15),IF('1. Datos brutos'!M15&gt;30,"Hiper.",'1. Datos brutos'!M15),"")</f>
        <v>1.92</v>
      </c>
      <c r="M16" s="37">
        <f>IF(ISNUMBER('1. Datos brutos'!N15),IF('1. Datos brutos'!N15&gt;30,"Hiper.",'1. Datos brutos'!N15),"")</f>
        <v>2.1</v>
      </c>
      <c r="N16" s="37">
        <f>IF(ISNUMBER('1. Datos brutos'!O15),IF('1. Datos brutos'!O15&gt;30,"Hiper.",'1. Datos brutos'!O15),"")</f>
        <v>2.14</v>
      </c>
      <c r="O16" s="38">
        <f>IF(ISNUMBER('1. Datos brutos'!P15),IF('1. Datos brutos'!P15&gt;30,"Hiper.",'1. Datos brutos'!P15),"")</f>
        <v>1.75</v>
      </c>
      <c r="P16" s="38">
        <f>IF(ISNUMBER('1. Datos brutos'!Q15),IF('1. Datos brutos'!Q15&gt;30,"Hiper.",'1. Datos brutos'!Q15),"")</f>
        <v>1.68</v>
      </c>
      <c r="Q16" s="38">
        <f>IF(ISNUMBER('1. Datos brutos'!R15),IF('1. Datos brutos'!R15&gt;30,"Hiper.",'1. Datos brutos'!R15),"")</f>
        <v>1.49</v>
      </c>
      <c r="R16" s="37">
        <f>IF(ISNUMBER('1. Datos brutos'!S15),IF('1. Datos brutos'!S15&gt;30,"Hiper.",'1. Datos brutos'!S15),"")</f>
        <v>2.81</v>
      </c>
      <c r="S16" s="39">
        <f>IF(ISNUMBER('1. Datos brutos'!T15),IF('1. Datos brutos'!T15&gt;30,"Hiper.",'1. Datos brutos'!T15),"")</f>
        <v>0.09</v>
      </c>
      <c r="T16" s="38">
        <f>IF(ISNUMBER('1. Datos brutos'!U15),IF('1. Datos brutos'!U15&gt;30,"Hiper.",'1. Datos brutos'!U15),"")</f>
        <v>1.53</v>
      </c>
      <c r="U16" s="37">
        <f>IF(ISNUMBER('1. Datos brutos'!V15),IF('1. Datos brutos'!V15&gt;30,"Hiper.",'1. Datos brutos'!V15),"")</f>
        <v>2.11</v>
      </c>
      <c r="V16" s="38">
        <f>IF(ISNUMBER('1. Datos brutos'!W15),IF('1. Datos brutos'!W15&gt;30,"Hiper.",'1. Datos brutos'!W15),"")</f>
        <v>1.95</v>
      </c>
      <c r="W16" s="39">
        <f>IF(ISNUMBER('1. Datos brutos'!X15),IF('1. Datos brutos'!X15&gt;30,"Hiper.",'1. Datos brutos'!X15),"")</f>
        <v>0.86</v>
      </c>
      <c r="X16" s="39">
        <f>IF(ISNUMBER('1. Datos brutos'!Y15),IF('1. Datos brutos'!Y15&gt;30,"Hiper.",'1. Datos brutos'!Y15),"")</f>
        <v>0.51</v>
      </c>
      <c r="Y16" s="39">
        <f>IF(ISNUMBER('1. Datos brutos'!Z15),IF('1. Datos brutos'!Z15&gt;30,"Hiper.",'1. Datos brutos'!Z15),"")</f>
        <v>0.04</v>
      </c>
      <c r="Z16" s="39">
        <f>IF(ISNUMBER('1. Datos brutos'!AA15),IF('1. Datos brutos'!AA15&gt;30,"Hiper.",'1. Datos brutos'!AA15),"")</f>
        <v>0.18</v>
      </c>
      <c r="AA16" s="38">
        <f>IF(ISNUMBER('1. Datos brutos'!AB15),IF('1. Datos brutos'!AB15&gt;30,"Hiper.",'1. Datos brutos'!AB15),"")</f>
        <v>1.03</v>
      </c>
      <c r="AB16" s="38">
        <f>IF(ISNUMBER('1. Datos brutos'!AC15),IF('1. Datos brutos'!AC15&gt;30,"Hiper.",'1. Datos brutos'!AC15),"")</f>
        <v>1.85</v>
      </c>
      <c r="AC16" s="38">
        <f>IF(ISNUMBER('1. Datos brutos'!AD15),IF('1. Datos brutos'!AD15&gt;30,"Hiper.",'1. Datos brutos'!AD15),"")</f>
        <v>1.1100000000000001</v>
      </c>
      <c r="AD16" s="39">
        <f>IF(ISNUMBER('1. Datos brutos'!AE15),IF('1. Datos brutos'!AE15&gt;30,"Hiper.",'1. Datos brutos'!AE15),"")</f>
        <v>0.48</v>
      </c>
      <c r="AE16" s="38">
        <f>IF(ISNUMBER('1. Datos brutos'!AF15),IF('1. Datos brutos'!AF15&gt;30,"Hiper.",'1. Datos brutos'!AF15),"")</f>
        <v>1.64</v>
      </c>
      <c r="AF16" s="40">
        <f>IF(ISNUMBER('1. Datos brutos'!AG15),IF('1. Datos brutos'!AG15&gt;30,"Hiper.",'1. Datos brutos'!AG15),"")</f>
        <v>5.22</v>
      </c>
      <c r="AG16" s="36">
        <f>IF(ISNUMBER('1. Datos brutos'!AH15),IF('1. Datos brutos'!AH15&gt;30,"Hiper.",'1. Datos brutos'!AH15),"")</f>
        <v>4.88</v>
      </c>
      <c r="AH16" s="37">
        <f>IF(ISNUMBER('1. Datos brutos'!AI15),IF('1. Datos brutos'!AI15&gt;30,"Hiper.",'1. Datos brutos'!AI15),"")</f>
        <v>2</v>
      </c>
      <c r="AI16" s="39">
        <f>IF(ISNUMBER('1. Datos brutos'!AJ15),IF('1. Datos brutos'!AJ15&gt;30,"Hiper.",'1. Datos brutos'!AJ15),"")</f>
        <v>0</v>
      </c>
    </row>
    <row r="17" spans="1:35" x14ac:dyDescent="0.35">
      <c r="A17" s="35" t="str">
        <f>'1. Datos brutos'!B16</f>
        <v>Grecia</v>
      </c>
      <c r="B17" s="5" t="str">
        <f>'1. Datos brutos'!C16</f>
        <v>Eurozona core</v>
      </c>
      <c r="C17" s="43">
        <f>IF(ISNUMBER('1. Datos brutos'!D16),IF('1. Datos brutos'!D16&gt;30,"Hiper.",'1. Datos brutos'!D16),"")</f>
        <v>14.41</v>
      </c>
      <c r="D17" s="43">
        <f>IF(ISNUMBER('1. Datos brutos'!E16),IF('1. Datos brutos'!E16&gt;30,"Hiper.",'1. Datos brutos'!E16),"")</f>
        <v>10.87</v>
      </c>
      <c r="E17" s="41">
        <f>IF(ISNUMBER('1. Datos brutos'!F16),IF('1. Datos brutos'!F16&gt;30,"Hiper.",'1. Datos brutos'!F16),"")</f>
        <v>8.93</v>
      </c>
      <c r="F17" s="41">
        <f>IF(ISNUMBER('1. Datos brutos'!G16),IF('1. Datos brutos'!G16&gt;30,"Hiper.",'1. Datos brutos'!G16),"")</f>
        <v>8.19</v>
      </c>
      <c r="G17" s="40">
        <f>IF(ISNUMBER('1. Datos brutos'!H16),IF('1. Datos brutos'!H16&gt;30,"Hiper.",'1. Datos brutos'!H16),"")</f>
        <v>5.54</v>
      </c>
      <c r="H17" s="36">
        <f>IF(ISNUMBER('1. Datos brutos'!I16),IF('1. Datos brutos'!I16&gt;30,"Hiper.",'1. Datos brutos'!I16),"")</f>
        <v>4.7699999999999996</v>
      </c>
      <c r="I17" s="37">
        <f>IF(ISNUMBER('1. Datos brutos'!J16),IF('1. Datos brutos'!J16&gt;30,"Hiper.",'1. Datos brutos'!J16),"")</f>
        <v>2.64</v>
      </c>
      <c r="J17" s="36">
        <f>IF(ISNUMBER('1. Datos brutos'!K16),IF('1. Datos brutos'!K16&gt;30,"Hiper.",'1. Datos brutos'!K16),"")</f>
        <v>3.15</v>
      </c>
      <c r="K17" s="36">
        <f>IF(ISNUMBER('1. Datos brutos'!L16),IF('1. Datos brutos'!L16&gt;30,"Hiper.",'1. Datos brutos'!L16),"")</f>
        <v>3.37</v>
      </c>
      <c r="L17" s="36">
        <f>IF(ISNUMBER('1. Datos brutos'!M16),IF('1. Datos brutos'!M16&gt;30,"Hiper.",'1. Datos brutos'!M16),"")</f>
        <v>3.63</v>
      </c>
      <c r="M17" s="36">
        <f>IF(ISNUMBER('1. Datos brutos'!N16),IF('1. Datos brutos'!N16&gt;30,"Hiper.",'1. Datos brutos'!N16),"")</f>
        <v>3.53</v>
      </c>
      <c r="N17" s="37">
        <f>IF(ISNUMBER('1. Datos brutos'!O16),IF('1. Datos brutos'!O16&gt;30,"Hiper.",'1. Datos brutos'!O16),"")</f>
        <v>2.9</v>
      </c>
      <c r="O17" s="36">
        <f>IF(ISNUMBER('1. Datos brutos'!P16),IF('1. Datos brutos'!P16&gt;30,"Hiper.",'1. Datos brutos'!P16),"")</f>
        <v>3.55</v>
      </c>
      <c r="P17" s="36">
        <f>IF(ISNUMBER('1. Datos brutos'!Q16),IF('1. Datos brutos'!Q16&gt;30,"Hiper.",'1. Datos brutos'!Q16),"")</f>
        <v>3.2</v>
      </c>
      <c r="Q17" s="37">
        <f>IF(ISNUMBER('1. Datos brutos'!R16),IF('1. Datos brutos'!R16&gt;30,"Hiper.",'1. Datos brutos'!R16),"")</f>
        <v>2.9</v>
      </c>
      <c r="R17" s="36">
        <f>IF(ISNUMBER('1. Datos brutos'!S16),IF('1. Datos brutos'!S16&gt;30,"Hiper.",'1. Datos brutos'!S16),"")</f>
        <v>4.1500000000000004</v>
      </c>
      <c r="S17" s="38">
        <f>IF(ISNUMBER('1. Datos brutos'!T16),IF('1. Datos brutos'!T16&gt;30,"Hiper.",'1. Datos brutos'!T16),"")</f>
        <v>1.21</v>
      </c>
      <c r="T17" s="36">
        <f>IF(ISNUMBER('1. Datos brutos'!U16),IF('1. Datos brutos'!U16&gt;30,"Hiper.",'1. Datos brutos'!U16),"")</f>
        <v>4.71</v>
      </c>
      <c r="U17" s="36">
        <f>IF(ISNUMBER('1. Datos brutos'!V16),IF('1. Datos brutos'!V16&gt;30,"Hiper.",'1. Datos brutos'!V16),"")</f>
        <v>3.33</v>
      </c>
      <c r="V17" s="38">
        <f>IF(ISNUMBER('1. Datos brutos'!W16),IF('1. Datos brutos'!W16&gt;30,"Hiper.",'1. Datos brutos'!W16),"")</f>
        <v>1.5</v>
      </c>
      <c r="W17" s="42">
        <f>IF(ISNUMBER('1. Datos brutos'!X16),IF('1. Datos brutos'!X16&gt;30,"Hiper.",'1. Datos brutos'!X16),"")</f>
        <v>-0.92</v>
      </c>
      <c r="X17" s="42">
        <f>IF(ISNUMBER('1. Datos brutos'!Y16),IF('1. Datos brutos'!Y16&gt;30,"Hiper.",'1. Datos brutos'!Y16),"")</f>
        <v>-1.31</v>
      </c>
      <c r="Y17" s="42">
        <f>IF(ISNUMBER('1. Datos brutos'!Z16),IF('1. Datos brutos'!Z16&gt;30,"Hiper.",'1. Datos brutos'!Z16),"")</f>
        <v>-1.74</v>
      </c>
      <c r="Z17" s="42">
        <f>IF(ISNUMBER('1. Datos brutos'!AA16),IF('1. Datos brutos'!AA16&gt;30,"Hiper.",'1. Datos brutos'!AA16),"")</f>
        <v>-0.83</v>
      </c>
      <c r="AA17" s="38">
        <f>IF(ISNUMBER('1. Datos brutos'!AB16),IF('1. Datos brutos'!AB16&gt;30,"Hiper.",'1. Datos brutos'!AB16),"")</f>
        <v>1.1200000000000001</v>
      </c>
      <c r="AB17" s="39">
        <f>IF(ISNUMBER('1. Datos brutos'!AC16),IF('1. Datos brutos'!AC16&gt;30,"Hiper.",'1. Datos brutos'!AC16),"")</f>
        <v>0.63</v>
      </c>
      <c r="AC17" s="39">
        <f>IF(ISNUMBER('1. Datos brutos'!AD16),IF('1. Datos brutos'!AD16&gt;30,"Hiper.",'1. Datos brutos'!AD16),"")</f>
        <v>0.25</v>
      </c>
      <c r="AD17" s="42">
        <f>IF(ISNUMBER('1. Datos brutos'!AE16),IF('1. Datos brutos'!AE16&gt;30,"Hiper.",'1. Datos brutos'!AE16),"")</f>
        <v>-1.25</v>
      </c>
      <c r="AE17" s="38">
        <f>IF(ISNUMBER('1. Datos brutos'!AF16),IF('1. Datos brutos'!AF16&gt;30,"Hiper.",'1. Datos brutos'!AF16),"")</f>
        <v>1.22</v>
      </c>
      <c r="AF17" s="41">
        <f>IF(ISNUMBER('1. Datos brutos'!AG16),IF('1. Datos brutos'!AG16&gt;30,"Hiper.",'1. Datos brutos'!AG16),"")</f>
        <v>9.65</v>
      </c>
      <c r="AG17" s="36">
        <f>IF(ISNUMBER('1. Datos brutos'!AH16),IF('1. Datos brutos'!AH16&gt;30,"Hiper.",'1. Datos brutos'!AH16),"")</f>
        <v>3.46</v>
      </c>
      <c r="AH17" s="37">
        <f>IF(ISNUMBER('1. Datos brutos'!AI16),IF('1. Datos brutos'!AI16&gt;30,"Hiper.",'1. Datos brutos'!AI16),"")</f>
        <v>2.74</v>
      </c>
      <c r="AI17" s="39">
        <f>IF(ISNUMBER('1. Datos brutos'!AJ16),IF('1. Datos brutos'!AJ16&gt;30,"Hiper.",'1. Datos brutos'!AJ16),"")</f>
        <v>0</v>
      </c>
    </row>
    <row r="18" spans="1:35" x14ac:dyDescent="0.35">
      <c r="A18" s="35" t="str">
        <f>'1. Datos brutos'!B17</f>
        <v>Irlanda</v>
      </c>
      <c r="B18" s="5" t="str">
        <f>'1. Datos brutos'!C17</f>
        <v>Eurozona core</v>
      </c>
      <c r="C18" s="38">
        <f>IF(ISNUMBER('1. Datos brutos'!D17),IF('1. Datos brutos'!D17&gt;30,"Hiper.",'1. Datos brutos'!D17),"")</f>
        <v>1.47</v>
      </c>
      <c r="D18" s="37">
        <f>IF(ISNUMBER('1. Datos brutos'!E17),IF('1. Datos brutos'!E17&gt;30,"Hiper.",'1. Datos brutos'!E17),"")</f>
        <v>2.31</v>
      </c>
      <c r="E18" s="37">
        <f>IF(ISNUMBER('1. Datos brutos'!F17),IF('1. Datos brutos'!F17&gt;30,"Hiper.",'1. Datos brutos'!F17),"")</f>
        <v>2.52</v>
      </c>
      <c r="F18" s="38">
        <f>IF(ISNUMBER('1. Datos brutos'!G17),IF('1. Datos brutos'!G17&gt;30,"Hiper.",'1. Datos brutos'!G17),"")</f>
        <v>1.76</v>
      </c>
      <c r="G18" s="38">
        <f>IF(ISNUMBER('1. Datos brutos'!H17),IF('1. Datos brutos'!H17&gt;30,"Hiper.",'1. Datos brutos'!H17),"")</f>
        <v>1.54</v>
      </c>
      <c r="H18" s="37">
        <f>IF(ISNUMBER('1. Datos brutos'!I17),IF('1. Datos brutos'!I17&gt;30,"Hiper.",'1. Datos brutos'!I17),"")</f>
        <v>2.41</v>
      </c>
      <c r="I18" s="38">
        <f>IF(ISNUMBER('1. Datos brutos'!J17),IF('1. Datos brutos'!J17&gt;30,"Hiper.",'1. Datos brutos'!J17),"")</f>
        <v>1.63</v>
      </c>
      <c r="J18" s="40">
        <f>IF(ISNUMBER('1. Datos brutos'!K17),IF('1. Datos brutos'!K17&gt;30,"Hiper.",'1. Datos brutos'!K17),"")</f>
        <v>5.58</v>
      </c>
      <c r="K18" s="36">
        <f>IF(ISNUMBER('1. Datos brutos'!L17),IF('1. Datos brutos'!L17&gt;30,"Hiper.",'1. Datos brutos'!L17),"")</f>
        <v>4.8499999999999996</v>
      </c>
      <c r="L18" s="36">
        <f>IF(ISNUMBER('1. Datos brutos'!M17),IF('1. Datos brutos'!M17&gt;30,"Hiper.",'1. Datos brutos'!M17),"")</f>
        <v>4.63</v>
      </c>
      <c r="M18" s="36">
        <f>IF(ISNUMBER('1. Datos brutos'!N17),IF('1. Datos brutos'!N17&gt;30,"Hiper.",'1. Datos brutos'!N17),"")</f>
        <v>3.49</v>
      </c>
      <c r="N18" s="37">
        <f>IF(ISNUMBER('1. Datos brutos'!O17),IF('1. Datos brutos'!O17&gt;30,"Hiper.",'1. Datos brutos'!O17),"")</f>
        <v>2.1800000000000002</v>
      </c>
      <c r="O18" s="37">
        <f>IF(ISNUMBER('1. Datos brutos'!P17),IF('1. Datos brutos'!P17&gt;30,"Hiper.",'1. Datos brutos'!P17),"")</f>
        <v>2.46</v>
      </c>
      <c r="P18" s="36">
        <f>IF(ISNUMBER('1. Datos brutos'!Q17),IF('1. Datos brutos'!Q17&gt;30,"Hiper.",'1. Datos brutos'!Q17),"")</f>
        <v>3.94</v>
      </c>
      <c r="Q18" s="36">
        <f>IF(ISNUMBER('1. Datos brutos'!R17),IF('1. Datos brutos'!R17&gt;30,"Hiper.",'1. Datos brutos'!R17),"")</f>
        <v>4.8899999999999997</v>
      </c>
      <c r="R18" s="36">
        <f>IF(ISNUMBER('1. Datos brutos'!S17),IF('1. Datos brutos'!S17&gt;30,"Hiper.",'1. Datos brutos'!S17),"")</f>
        <v>4.04</v>
      </c>
      <c r="S18" s="42">
        <f>IF(ISNUMBER('1. Datos brutos'!T17),IF('1. Datos brutos'!T17&gt;30,"Hiper.",'1. Datos brutos'!T17),"")</f>
        <v>-4.45</v>
      </c>
      <c r="T18" s="42">
        <f>IF(ISNUMBER('1. Datos brutos'!U17),IF('1. Datos brutos'!U17&gt;30,"Hiper.",'1. Datos brutos'!U17),"")</f>
        <v>-0.92</v>
      </c>
      <c r="U18" s="37">
        <f>IF(ISNUMBER('1. Datos brutos'!V17),IF('1. Datos brutos'!V17&gt;30,"Hiper.",'1. Datos brutos'!V17),"")</f>
        <v>2.5499999999999998</v>
      </c>
      <c r="V18" s="38">
        <f>IF(ISNUMBER('1. Datos brutos'!W17),IF('1. Datos brutos'!W17&gt;30,"Hiper.",'1. Datos brutos'!W17),"")</f>
        <v>1.69</v>
      </c>
      <c r="W18" s="39">
        <f>IF(ISNUMBER('1. Datos brutos'!X17),IF('1. Datos brutos'!X17&gt;30,"Hiper.",'1. Datos brutos'!X17),"")</f>
        <v>0.52</v>
      </c>
      <c r="X18" s="39">
        <f>IF(ISNUMBER('1. Datos brutos'!Y17),IF('1. Datos brutos'!Y17&gt;30,"Hiper.",'1. Datos brutos'!Y17),"")</f>
        <v>0.19</v>
      </c>
      <c r="Y18" s="42">
        <f>IF(ISNUMBER('1. Datos brutos'!Z17),IF('1. Datos brutos'!Z17&gt;30,"Hiper.",'1. Datos brutos'!Z17),"")</f>
        <v>-0.33</v>
      </c>
      <c r="Z18" s="39">
        <f>IF(ISNUMBER('1. Datos brutos'!AA17),IF('1. Datos brutos'!AA17&gt;30,"Hiper.",'1. Datos brutos'!AA17),"")</f>
        <v>0.02</v>
      </c>
      <c r="AA18" s="39">
        <f>IF(ISNUMBER('1. Datos brutos'!AB17),IF('1. Datos brutos'!AB17&gt;30,"Hiper.",'1. Datos brutos'!AB17),"")</f>
        <v>0.36</v>
      </c>
      <c r="AB18" s="39">
        <f>IF(ISNUMBER('1. Datos brutos'!AC17),IF('1. Datos brutos'!AC17&gt;30,"Hiper.",'1. Datos brutos'!AC17),"")</f>
        <v>0.47</v>
      </c>
      <c r="AC18" s="39">
        <f>IF(ISNUMBER('1. Datos brutos'!AD17),IF('1. Datos brutos'!AD17&gt;30,"Hiper.",'1. Datos brutos'!AD17),"")</f>
        <v>0.94</v>
      </c>
      <c r="AD18" s="42">
        <f>IF(ISNUMBER('1. Datos brutos'!AE17),IF('1. Datos brutos'!AE17&gt;30,"Hiper.",'1. Datos brutos'!AE17),"")</f>
        <v>-0.33</v>
      </c>
      <c r="AE18" s="37">
        <f>IF(ISNUMBER('1. Datos brutos'!AF17),IF('1. Datos brutos'!AF17&gt;30,"Hiper.",'1. Datos brutos'!AF17),"")</f>
        <v>2.34</v>
      </c>
      <c r="AF18" s="41">
        <f>IF(ISNUMBER('1. Datos brutos'!AG17),IF('1. Datos brutos'!AG17&gt;30,"Hiper.",'1. Datos brutos'!AG17),"")</f>
        <v>7.83</v>
      </c>
      <c r="AG18" s="40">
        <f>IF(ISNUMBER('1. Datos brutos'!AH17),IF('1. Datos brutos'!AH17&gt;30,"Hiper.",'1. Datos brutos'!AH17),"")</f>
        <v>6.3</v>
      </c>
      <c r="AH18" s="37">
        <f>IF(ISNUMBER('1. Datos brutos'!AI17),IF('1. Datos brutos'!AI17&gt;30,"Hiper.",'1. Datos brutos'!AI17),"")</f>
        <v>2.11</v>
      </c>
      <c r="AI18" s="39">
        <f>IF(ISNUMBER('1. Datos brutos'!AJ17),IF('1. Datos brutos'!AJ17&gt;30,"Hiper.",'1. Datos brutos'!AJ17),"")</f>
        <v>0</v>
      </c>
    </row>
    <row r="19" spans="1:35" x14ac:dyDescent="0.35">
      <c r="A19" s="35" t="str">
        <f>'1. Datos brutos'!B18</f>
        <v>Italia</v>
      </c>
      <c r="B19" s="5" t="str">
        <f>'1. Datos brutos'!C18</f>
        <v>Eurozona core</v>
      </c>
      <c r="C19" s="36">
        <f>IF(ISNUMBER('1. Datos brutos'!D18),IF('1. Datos brutos'!D18&gt;30,"Hiper.",'1. Datos brutos'!D18),"")</f>
        <v>4.63</v>
      </c>
      <c r="D19" s="36">
        <f>IF(ISNUMBER('1. Datos brutos'!E18),IF('1. Datos brutos'!E18&gt;30,"Hiper.",'1. Datos brutos'!E18),"")</f>
        <v>4.05</v>
      </c>
      <c r="E19" s="40">
        <f>IF(ISNUMBER('1. Datos brutos'!F18),IF('1. Datos brutos'!F18&gt;30,"Hiper.",'1. Datos brutos'!F18),"")</f>
        <v>5.24</v>
      </c>
      <c r="F19" s="36">
        <f>IF(ISNUMBER('1. Datos brutos'!G18),IF('1. Datos brutos'!G18&gt;30,"Hiper.",'1. Datos brutos'!G18),"")</f>
        <v>4.01</v>
      </c>
      <c r="G19" s="37">
        <f>IF(ISNUMBER('1. Datos brutos'!H18),IF('1. Datos brutos'!H18&gt;30,"Hiper.",'1. Datos brutos'!H18),"")</f>
        <v>2.04</v>
      </c>
      <c r="H19" s="38">
        <f>IF(ISNUMBER('1. Datos brutos'!I18),IF('1. Datos brutos'!I18&gt;30,"Hiper.",'1. Datos brutos'!I18),"")</f>
        <v>1.96</v>
      </c>
      <c r="I19" s="38">
        <f>IF(ISNUMBER('1. Datos brutos'!J18),IF('1. Datos brutos'!J18&gt;30,"Hiper.",'1. Datos brutos'!J18),"")</f>
        <v>1.66</v>
      </c>
      <c r="J19" s="37">
        <f>IF(ISNUMBER('1. Datos brutos'!K18),IF('1. Datos brutos'!K18&gt;30,"Hiper.",'1. Datos brutos'!K18),"")</f>
        <v>2.54</v>
      </c>
      <c r="K19" s="37">
        <f>IF(ISNUMBER('1. Datos brutos'!L18),IF('1. Datos brutos'!L18&gt;30,"Hiper.",'1. Datos brutos'!L18),"")</f>
        <v>2.79</v>
      </c>
      <c r="L19" s="37">
        <f>IF(ISNUMBER('1. Datos brutos'!M18),IF('1. Datos brutos'!M18&gt;30,"Hiper.",'1. Datos brutos'!M18),"")</f>
        <v>2.4700000000000002</v>
      </c>
      <c r="M19" s="37">
        <f>IF(ISNUMBER('1. Datos brutos'!N18),IF('1. Datos brutos'!N18&gt;30,"Hiper.",'1. Datos brutos'!N18),"")</f>
        <v>2.67</v>
      </c>
      <c r="N19" s="37">
        <f>IF(ISNUMBER('1. Datos brutos'!O18),IF('1. Datos brutos'!O18&gt;30,"Hiper.",'1. Datos brutos'!O18),"")</f>
        <v>2.21</v>
      </c>
      <c r="O19" s="38">
        <f>IF(ISNUMBER('1. Datos brutos'!P18),IF('1. Datos brutos'!P18&gt;30,"Hiper.",'1. Datos brutos'!P18),"")</f>
        <v>1.99</v>
      </c>
      <c r="P19" s="37">
        <f>IF(ISNUMBER('1. Datos brutos'!Q18),IF('1. Datos brutos'!Q18&gt;30,"Hiper.",'1. Datos brutos'!Q18),"")</f>
        <v>2.09</v>
      </c>
      <c r="Q19" s="38">
        <f>IF(ISNUMBER('1. Datos brutos'!R18),IF('1. Datos brutos'!R18&gt;30,"Hiper.",'1. Datos brutos'!R18),"")</f>
        <v>1.83</v>
      </c>
      <c r="R19" s="36">
        <f>IF(ISNUMBER('1. Datos brutos'!S18),IF('1. Datos brutos'!S18&gt;30,"Hiper.",'1. Datos brutos'!S18),"")</f>
        <v>3.35</v>
      </c>
      <c r="S19" s="39">
        <f>IF(ISNUMBER('1. Datos brutos'!T18),IF('1. Datos brutos'!T18&gt;30,"Hiper.",'1. Datos brutos'!T18),"")</f>
        <v>0.77</v>
      </c>
      <c r="T19" s="38">
        <f>IF(ISNUMBER('1. Datos brutos'!U18),IF('1. Datos brutos'!U18&gt;30,"Hiper.",'1. Datos brutos'!U18),"")</f>
        <v>1.53</v>
      </c>
      <c r="U19" s="37">
        <f>IF(ISNUMBER('1. Datos brutos'!V18),IF('1. Datos brutos'!V18&gt;30,"Hiper.",'1. Datos brutos'!V18),"")</f>
        <v>2.78</v>
      </c>
      <c r="V19" s="36">
        <f>IF(ISNUMBER('1. Datos brutos'!W18),IF('1. Datos brutos'!W18&gt;30,"Hiper.",'1. Datos brutos'!W18),"")</f>
        <v>3.04</v>
      </c>
      <c r="W19" s="38">
        <f>IF(ISNUMBER('1. Datos brutos'!X18),IF('1. Datos brutos'!X18&gt;30,"Hiper.",'1. Datos brutos'!X18),"")</f>
        <v>1.22</v>
      </c>
      <c r="X19" s="39">
        <f>IF(ISNUMBER('1. Datos brutos'!Y18),IF('1. Datos brutos'!Y18&gt;30,"Hiper.",'1. Datos brutos'!Y18),"")</f>
        <v>0.24</v>
      </c>
      <c r="Y19" s="39">
        <f>IF(ISNUMBER('1. Datos brutos'!Z18),IF('1. Datos brutos'!Z18&gt;30,"Hiper.",'1. Datos brutos'!Z18),"")</f>
        <v>0.04</v>
      </c>
      <c r="Z19" s="42">
        <f>IF(ISNUMBER('1. Datos brutos'!AA18),IF('1. Datos brutos'!AA18&gt;30,"Hiper.",'1. Datos brutos'!AA18),"")</f>
        <v>-0.09</v>
      </c>
      <c r="AA19" s="38">
        <f>IF(ISNUMBER('1. Datos brutos'!AB18),IF('1. Datos brutos'!AB18&gt;30,"Hiper.",'1. Datos brutos'!AB18),"")</f>
        <v>1.23</v>
      </c>
      <c r="AB19" s="38">
        <f>IF(ISNUMBER('1. Datos brutos'!AC18),IF('1. Datos brutos'!AC18&gt;30,"Hiper.",'1. Datos brutos'!AC18),"")</f>
        <v>1.1399999999999999</v>
      </c>
      <c r="AC19" s="39">
        <f>IF(ISNUMBER('1. Datos brutos'!AD18),IF('1. Datos brutos'!AD18&gt;30,"Hiper.",'1. Datos brutos'!AD18),"")</f>
        <v>0.61</v>
      </c>
      <c r="AD19" s="42">
        <f>IF(ISNUMBER('1. Datos brutos'!AE18),IF('1. Datos brutos'!AE18&gt;30,"Hiper.",'1. Datos brutos'!AE18),"")</f>
        <v>-0.14000000000000001</v>
      </c>
      <c r="AE19" s="38">
        <f>IF(ISNUMBER('1. Datos brutos'!AF18),IF('1. Datos brutos'!AF18&gt;30,"Hiper.",'1. Datos brutos'!AF18),"")</f>
        <v>1.87</v>
      </c>
      <c r="AF19" s="41">
        <f>IF(ISNUMBER('1. Datos brutos'!AG18),IF('1. Datos brutos'!AG18&gt;30,"Hiper.",'1. Datos brutos'!AG18),"")</f>
        <v>8.1999999999999993</v>
      </c>
      <c r="AG19" s="40">
        <f>IF(ISNUMBER('1. Datos brutos'!AH18),IF('1. Datos brutos'!AH18&gt;30,"Hiper.",'1. Datos brutos'!AH18),"")</f>
        <v>5.62</v>
      </c>
      <c r="AH19" s="39">
        <f>IF(ISNUMBER('1. Datos brutos'!AI18),IF('1. Datos brutos'!AI18&gt;30,"Hiper.",'1. Datos brutos'!AI18),"")</f>
        <v>0.98</v>
      </c>
      <c r="AI19" s="39">
        <f>IF(ISNUMBER('1. Datos brutos'!AJ18),IF('1. Datos brutos'!AJ18&gt;30,"Hiper.",'1. Datos brutos'!AJ18),"")</f>
        <v>0</v>
      </c>
    </row>
    <row r="20" spans="1:35" x14ac:dyDescent="0.35">
      <c r="A20" s="35" t="str">
        <f>'1. Datos brutos'!B19</f>
        <v>Letonia</v>
      </c>
      <c r="B20" s="10" t="str">
        <f>'1. Datos brutos'!C19</f>
        <v>Bálticos</v>
      </c>
      <c r="C20" s="13" t="str">
        <f>IF(ISNUMBER('1. Datos brutos'!D19),IF('1. Datos brutos'!D19&gt;30,"Hiper.",'1. Datos brutos'!D19),"")</f>
        <v>Hiper.</v>
      </c>
      <c r="D20" s="13" t="str">
        <f>IF(ISNUMBER('1. Datos brutos'!E19),IF('1. Datos brutos'!E19&gt;30,"Hiper.",'1. Datos brutos'!E19),"")</f>
        <v>Hiper.</v>
      </c>
      <c r="E20" s="43">
        <f>IF(ISNUMBER('1. Datos brutos'!F19),IF('1. Datos brutos'!F19&gt;30,"Hiper.",'1. Datos brutos'!F19),"")</f>
        <v>24.98</v>
      </c>
      <c r="F20" s="43">
        <f>IF(ISNUMBER('1. Datos brutos'!G19),IF('1. Datos brutos'!G19&gt;30,"Hiper.",'1. Datos brutos'!G19),"")</f>
        <v>17.61</v>
      </c>
      <c r="G20" s="41">
        <f>IF(ISNUMBER('1. Datos brutos'!H19),IF('1. Datos brutos'!H19&gt;30,"Hiper.",'1. Datos brutos'!H19),"")</f>
        <v>8.4499999999999993</v>
      </c>
      <c r="H20" s="36">
        <f>IF(ISNUMBER('1. Datos brutos'!I19),IF('1. Datos brutos'!I19&gt;30,"Hiper.",'1. Datos brutos'!I19),"")</f>
        <v>4.6399999999999997</v>
      </c>
      <c r="I20" s="37">
        <f>IF(ISNUMBER('1. Datos brutos'!J19),IF('1. Datos brutos'!J19&gt;30,"Hiper.",'1. Datos brutos'!J19),"")</f>
        <v>2.36</v>
      </c>
      <c r="J20" s="37">
        <f>IF(ISNUMBER('1. Datos brutos'!K19),IF('1. Datos brutos'!K19&gt;30,"Hiper.",'1. Datos brutos'!K19),"")</f>
        <v>2.65</v>
      </c>
      <c r="K20" s="37">
        <f>IF(ISNUMBER('1. Datos brutos'!L19),IF('1. Datos brutos'!L19&gt;30,"Hiper.",'1. Datos brutos'!L19),"")</f>
        <v>2.4900000000000002</v>
      </c>
      <c r="L20" s="38">
        <f>IF(ISNUMBER('1. Datos brutos'!M19),IF('1. Datos brutos'!M19&gt;30,"Hiper.",'1. Datos brutos'!M19),"")</f>
        <v>1.94</v>
      </c>
      <c r="M20" s="37">
        <f>IF(ISNUMBER('1. Datos brutos'!N19),IF('1. Datos brutos'!N19&gt;30,"Hiper.",'1. Datos brutos'!N19),"")</f>
        <v>2.94</v>
      </c>
      <c r="N20" s="40">
        <f>IF(ISNUMBER('1. Datos brutos'!O19),IF('1. Datos brutos'!O19&gt;30,"Hiper.",'1. Datos brutos'!O19),"")</f>
        <v>6.19</v>
      </c>
      <c r="O20" s="40">
        <f>IF(ISNUMBER('1. Datos brutos'!P19),IF('1. Datos brutos'!P19&gt;30,"Hiper.",'1. Datos brutos'!P19),"")</f>
        <v>6.75</v>
      </c>
      <c r="P20" s="40">
        <f>IF(ISNUMBER('1. Datos brutos'!Q19),IF('1. Datos brutos'!Q19&gt;30,"Hiper.",'1. Datos brutos'!Q19),"")</f>
        <v>6.54</v>
      </c>
      <c r="Q20" s="43">
        <f>IF(ISNUMBER('1. Datos brutos'!R19),IF('1. Datos brutos'!R19&gt;30,"Hiper.",'1. Datos brutos'!R19),"")</f>
        <v>10.09</v>
      </c>
      <c r="R20" s="43">
        <f>IF(ISNUMBER('1. Datos brutos'!S19),IF('1. Datos brutos'!S19&gt;30,"Hiper.",'1. Datos brutos'!S19),"")</f>
        <v>15.4</v>
      </c>
      <c r="S20" s="36">
        <f>IF(ISNUMBER('1. Datos brutos'!T19),IF('1. Datos brutos'!T19&gt;30,"Hiper.",'1. Datos brutos'!T19),"")</f>
        <v>3.53</v>
      </c>
      <c r="T20" s="42">
        <f>IF(ISNUMBER('1. Datos brutos'!U19),IF('1. Datos brutos'!U19&gt;30,"Hiper.",'1. Datos brutos'!U19),"")</f>
        <v>-1.08</v>
      </c>
      <c r="U20" s="36">
        <f>IF(ISNUMBER('1. Datos brutos'!V19),IF('1. Datos brutos'!V19&gt;30,"Hiper.",'1. Datos brutos'!V19),"")</f>
        <v>4.37</v>
      </c>
      <c r="V20" s="37">
        <f>IF(ISNUMBER('1. Datos brutos'!W19),IF('1. Datos brutos'!W19&gt;30,"Hiper.",'1. Datos brutos'!W19),"")</f>
        <v>2.2599999999999998</v>
      </c>
      <c r="W20" s="42">
        <f>IF(ISNUMBER('1. Datos brutos'!X19),IF('1. Datos brutos'!X19&gt;30,"Hiper.",'1. Datos brutos'!X19),"")</f>
        <v>-0.03</v>
      </c>
      <c r="X20" s="39">
        <f>IF(ISNUMBER('1. Datos brutos'!Y19),IF('1. Datos brutos'!Y19&gt;30,"Hiper.",'1. Datos brutos'!Y19),"")</f>
        <v>0.62</v>
      </c>
      <c r="Y20" s="39">
        <f>IF(ISNUMBER('1. Datos brutos'!Z19),IF('1. Datos brutos'!Z19&gt;30,"Hiper.",'1. Datos brutos'!Z19),"")</f>
        <v>0.17</v>
      </c>
      <c r="Z20" s="39">
        <f>IF(ISNUMBER('1. Datos brutos'!AA19),IF('1. Datos brutos'!AA19&gt;30,"Hiper.",'1. Datos brutos'!AA19),"")</f>
        <v>0.14000000000000001</v>
      </c>
      <c r="AA20" s="37">
        <f>IF(ISNUMBER('1. Datos brutos'!AB19),IF('1. Datos brutos'!AB19&gt;30,"Hiper.",'1. Datos brutos'!AB19),"")</f>
        <v>2.93</v>
      </c>
      <c r="AB20" s="37">
        <f>IF(ISNUMBER('1. Datos brutos'!AC19),IF('1. Datos brutos'!AC19&gt;30,"Hiper.",'1. Datos brutos'!AC19),"")</f>
        <v>2.5299999999999998</v>
      </c>
      <c r="AC20" s="37">
        <f>IF(ISNUMBER('1. Datos brutos'!AD19),IF('1. Datos brutos'!AD19&gt;30,"Hiper.",'1. Datos brutos'!AD19),"")</f>
        <v>2.81</v>
      </c>
      <c r="AD20" s="39">
        <f>IF(ISNUMBER('1. Datos brutos'!AE19),IF('1. Datos brutos'!AE19&gt;30,"Hiper.",'1. Datos brutos'!AE19),"")</f>
        <v>0.22</v>
      </c>
      <c r="AE20" s="36">
        <f>IF(ISNUMBER('1. Datos brutos'!AF19),IF('1. Datos brutos'!AF19&gt;30,"Hiper.",'1. Datos brutos'!AF19),"")</f>
        <v>3.28</v>
      </c>
      <c r="AF20" s="43">
        <f>IF(ISNUMBER('1. Datos brutos'!AG19),IF('1. Datos brutos'!AG19&gt;30,"Hiper.",'1. Datos brutos'!AG19),"")</f>
        <v>17.309999999999999</v>
      </c>
      <c r="AG20" s="41">
        <f>IF(ISNUMBER('1. Datos brutos'!AH19),IF('1. Datos brutos'!AH19&gt;30,"Hiper.",'1. Datos brutos'!AH19),"")</f>
        <v>8.94</v>
      </c>
      <c r="AH20" s="38">
        <f>IF(ISNUMBER('1. Datos brutos'!AI19),IF('1. Datos brutos'!AI19&gt;30,"Hiper.",'1. Datos brutos'!AI19),"")</f>
        <v>1.27</v>
      </c>
      <c r="AI20" s="39">
        <f>IF(ISNUMBER('1. Datos brutos'!AJ19),IF('1. Datos brutos'!AJ19&gt;30,"Hiper.",'1. Datos brutos'!AJ19),"")</f>
        <v>0</v>
      </c>
    </row>
    <row r="21" spans="1:35" x14ac:dyDescent="0.35">
      <c r="A21" s="35" t="str">
        <f>'1. Datos brutos'!B20</f>
        <v>Lituania</v>
      </c>
      <c r="B21" s="10" t="str">
        <f>'1. Datos brutos'!C20</f>
        <v>Bálticos</v>
      </c>
      <c r="C21" s="13" t="str">
        <f>IF(ISNUMBER('1. Datos brutos'!D20),IF('1. Datos brutos'!D20&gt;30,"Hiper.",'1. Datos brutos'!D20),"")</f>
        <v>Hiper.</v>
      </c>
      <c r="D21" s="13" t="str">
        <f>IF(ISNUMBER('1. Datos brutos'!E20),IF('1. Datos brutos'!E20&gt;30,"Hiper.",'1. Datos brutos'!E20),"")</f>
        <v>Hiper.</v>
      </c>
      <c r="E21" s="13" t="str">
        <f>IF(ISNUMBER('1. Datos brutos'!F20),IF('1. Datos brutos'!F20&gt;30,"Hiper.",'1. Datos brutos'!F20),"")</f>
        <v>Hiper.</v>
      </c>
      <c r="F21" s="43">
        <f>IF(ISNUMBER('1. Datos brutos'!G20),IF('1. Datos brutos'!G20&gt;30,"Hiper.",'1. Datos brutos'!G20),"")</f>
        <v>24.63</v>
      </c>
      <c r="G21" s="41">
        <f>IF(ISNUMBER('1. Datos brutos'!H20),IF('1. Datos brutos'!H20&gt;30,"Hiper.",'1. Datos brutos'!H20),"")</f>
        <v>8.8800000000000008</v>
      </c>
      <c r="H21" s="40">
        <f>IF(ISNUMBER('1. Datos brutos'!I20),IF('1. Datos brutos'!I20&gt;30,"Hiper.",'1. Datos brutos'!I20),"")</f>
        <v>5.07</v>
      </c>
      <c r="I21" s="39">
        <f>IF(ISNUMBER('1. Datos brutos'!J20),IF('1. Datos brutos'!J20&gt;30,"Hiper.",'1. Datos brutos'!J20),"")</f>
        <v>0.73</v>
      </c>
      <c r="J21" s="39">
        <f>IF(ISNUMBER('1. Datos brutos'!K20),IF('1. Datos brutos'!K20&gt;30,"Hiper.",'1. Datos brutos'!K20),"")</f>
        <v>0.98</v>
      </c>
      <c r="K21" s="38">
        <f>IF(ISNUMBER('1. Datos brutos'!L20),IF('1. Datos brutos'!L20&gt;30,"Hiper.",'1. Datos brutos'!L20),"")</f>
        <v>1.37</v>
      </c>
      <c r="L21" s="39">
        <f>IF(ISNUMBER('1. Datos brutos'!M20),IF('1. Datos brutos'!M20&gt;30,"Hiper.",'1. Datos brutos'!M20),"")</f>
        <v>0.28000000000000003</v>
      </c>
      <c r="M21" s="42">
        <f>IF(ISNUMBER('1. Datos brutos'!N20),IF('1. Datos brutos'!N20&gt;30,"Hiper.",'1. Datos brutos'!N20),"")</f>
        <v>-1.1299999999999999</v>
      </c>
      <c r="N21" s="38">
        <f>IF(ISNUMBER('1. Datos brutos'!O20),IF('1. Datos brutos'!O20&gt;30,"Hiper.",'1. Datos brutos'!O20),"")</f>
        <v>1.1599999999999999</v>
      </c>
      <c r="O21" s="37">
        <f>IF(ISNUMBER('1. Datos brutos'!P20),IF('1. Datos brutos'!P20&gt;30,"Hiper.",'1. Datos brutos'!P20),"")</f>
        <v>2.66</v>
      </c>
      <c r="P21" s="36">
        <f>IF(ISNUMBER('1. Datos brutos'!Q20),IF('1. Datos brutos'!Q20&gt;30,"Hiper.",'1. Datos brutos'!Q20),"")</f>
        <v>3.74</v>
      </c>
      <c r="Q21" s="40">
        <f>IF(ISNUMBER('1. Datos brutos'!R20),IF('1. Datos brutos'!R20&gt;30,"Hiper.",'1. Datos brutos'!R20),"")</f>
        <v>5.74</v>
      </c>
      <c r="R21" s="43">
        <f>IF(ISNUMBER('1. Datos brutos'!S20),IF('1. Datos brutos'!S20&gt;30,"Hiper.",'1. Datos brutos'!S20),"")</f>
        <v>10.93</v>
      </c>
      <c r="S21" s="36">
        <f>IF(ISNUMBER('1. Datos brutos'!T20),IF('1. Datos brutos'!T20&gt;30,"Hiper.",'1. Datos brutos'!T20),"")</f>
        <v>4.45</v>
      </c>
      <c r="T21" s="38">
        <f>IF(ISNUMBER('1. Datos brutos'!U20),IF('1. Datos brutos'!U20&gt;30,"Hiper.",'1. Datos brutos'!U20),"")</f>
        <v>1.32</v>
      </c>
      <c r="U21" s="36">
        <f>IF(ISNUMBER('1. Datos brutos'!V20),IF('1. Datos brutos'!V20&gt;30,"Hiper.",'1. Datos brutos'!V20),"")</f>
        <v>4.13</v>
      </c>
      <c r="V21" s="36">
        <f>IF(ISNUMBER('1. Datos brutos'!W20),IF('1. Datos brutos'!W20&gt;30,"Hiper.",'1. Datos brutos'!W20),"")</f>
        <v>3.09</v>
      </c>
      <c r="W21" s="38">
        <f>IF(ISNUMBER('1. Datos brutos'!X20),IF('1. Datos brutos'!X20&gt;30,"Hiper.",'1. Datos brutos'!X20),"")</f>
        <v>1.05</v>
      </c>
      <c r="X21" s="39">
        <f>IF(ISNUMBER('1. Datos brutos'!Y20),IF('1. Datos brutos'!Y20&gt;30,"Hiper.",'1. Datos brutos'!Y20),"")</f>
        <v>0.1</v>
      </c>
      <c r="Y21" s="42">
        <f>IF(ISNUMBER('1. Datos brutos'!Z20),IF('1. Datos brutos'!Z20&gt;30,"Hiper.",'1. Datos brutos'!Z20),"")</f>
        <v>-0.88</v>
      </c>
      <c r="Z21" s="39">
        <f>IF(ISNUMBER('1. Datos brutos'!AA20),IF('1. Datos brutos'!AA20&gt;30,"Hiper.",'1. Datos brutos'!AA20),"")</f>
        <v>0.91</v>
      </c>
      <c r="AA21" s="36">
        <f>IF(ISNUMBER('1. Datos brutos'!AB20),IF('1. Datos brutos'!AB20&gt;30,"Hiper.",'1. Datos brutos'!AB20),"")</f>
        <v>3.72</v>
      </c>
      <c r="AB21" s="37">
        <f>IF(ISNUMBER('1. Datos brutos'!AC20),IF('1. Datos brutos'!AC20&gt;30,"Hiper.",'1. Datos brutos'!AC20),"")</f>
        <v>2.7</v>
      </c>
      <c r="AC21" s="37">
        <f>IF(ISNUMBER('1. Datos brutos'!AD20),IF('1. Datos brutos'!AD20&gt;30,"Hiper.",'1. Datos brutos'!AD20),"")</f>
        <v>2.33</v>
      </c>
      <c r="AD21" s="38">
        <f>IF(ISNUMBER('1. Datos brutos'!AE20),IF('1. Datos brutos'!AE20&gt;30,"Hiper.",'1. Datos brutos'!AE20),"")</f>
        <v>1.2</v>
      </c>
      <c r="AE21" s="36">
        <f>IF(ISNUMBER('1. Datos brutos'!AF20),IF('1. Datos brutos'!AF20&gt;30,"Hiper.",'1. Datos brutos'!AF20),"")</f>
        <v>4.68</v>
      </c>
      <c r="AF21" s="43">
        <f>IF(ISNUMBER('1. Datos brutos'!AG20),IF('1. Datos brutos'!AG20&gt;30,"Hiper.",'1. Datos brutos'!AG20),"")</f>
        <v>19.71</v>
      </c>
      <c r="AG21" s="41">
        <f>IF(ISNUMBER('1. Datos brutos'!AH20),IF('1. Datos brutos'!AH20&gt;30,"Hiper.",'1. Datos brutos'!AH20),"")</f>
        <v>9.1199999999999992</v>
      </c>
      <c r="AH21" s="39">
        <f>IF(ISNUMBER('1. Datos brutos'!AI20),IF('1. Datos brutos'!AI20&gt;30,"Hiper.",'1. Datos brutos'!AI20),"")</f>
        <v>0.72</v>
      </c>
      <c r="AI21" s="39">
        <f>IF(ISNUMBER('1. Datos brutos'!AJ20),IF('1. Datos brutos'!AJ20&gt;30,"Hiper.",'1. Datos brutos'!AJ20),"")</f>
        <v>0</v>
      </c>
    </row>
    <row r="22" spans="1:35" x14ac:dyDescent="0.35">
      <c r="A22" s="35" t="str">
        <f>'1. Datos brutos'!B21</f>
        <v>Luxemburgo</v>
      </c>
      <c r="B22" s="5" t="str">
        <f>'1. Datos brutos'!C21</f>
        <v>Eurozona core</v>
      </c>
      <c r="C22" s="36">
        <f>IF(ISNUMBER('1. Datos brutos'!D21),IF('1. Datos brutos'!D21&gt;30,"Hiper.",'1. Datos brutos'!D21),"")</f>
        <v>3.59</v>
      </c>
      <c r="D22" s="37">
        <f>IF(ISNUMBER('1. Datos brutos'!E21),IF('1. Datos brutos'!E21&gt;30,"Hiper.",'1. Datos brutos'!E21),"")</f>
        <v>2.19</v>
      </c>
      <c r="E22" s="38">
        <f>IF(ISNUMBER('1. Datos brutos'!F21),IF('1. Datos brutos'!F21&gt;30,"Hiper.",'1. Datos brutos'!F21),"")</f>
        <v>1.87</v>
      </c>
      <c r="F22" s="38">
        <f>IF(ISNUMBER('1. Datos brutos'!G21),IF('1. Datos brutos'!G21&gt;30,"Hiper.",'1. Datos brutos'!G21),"")</f>
        <v>1.18</v>
      </c>
      <c r="G22" s="38">
        <f>IF(ISNUMBER('1. Datos brutos'!H21),IF('1. Datos brutos'!H21&gt;30,"Hiper.",'1. Datos brutos'!H21),"")</f>
        <v>1.37</v>
      </c>
      <c r="H22" s="39">
        <f>IF(ISNUMBER('1. Datos brutos'!I21),IF('1. Datos brutos'!I21&gt;30,"Hiper.",'1. Datos brutos'!I21),"")</f>
        <v>0.96</v>
      </c>
      <c r="I22" s="38">
        <f>IF(ISNUMBER('1. Datos brutos'!J21),IF('1. Datos brutos'!J21&gt;30,"Hiper.",'1. Datos brutos'!J21),"")</f>
        <v>1.03</v>
      </c>
      <c r="J22" s="36">
        <f>IF(ISNUMBER('1. Datos brutos'!K21),IF('1. Datos brutos'!K21&gt;30,"Hiper.",'1. Datos brutos'!K21),"")</f>
        <v>3.15</v>
      </c>
      <c r="K22" s="37">
        <f>IF(ISNUMBER('1. Datos brutos'!L21),IF('1. Datos brutos'!L21&gt;30,"Hiper.",'1. Datos brutos'!L21),"")</f>
        <v>2.66</v>
      </c>
      <c r="L22" s="37">
        <f>IF(ISNUMBER('1. Datos brutos'!M21),IF('1. Datos brutos'!M21&gt;30,"Hiper.",'1. Datos brutos'!M21),"")</f>
        <v>2.0699999999999998</v>
      </c>
      <c r="M22" s="37">
        <f>IF(ISNUMBER('1. Datos brutos'!N21),IF('1. Datos brutos'!N21&gt;30,"Hiper.",'1. Datos brutos'!N21),"")</f>
        <v>2.0499999999999998</v>
      </c>
      <c r="N22" s="37">
        <f>IF(ISNUMBER('1. Datos brutos'!O21),IF('1. Datos brutos'!O21&gt;30,"Hiper.",'1. Datos brutos'!O21),"")</f>
        <v>2.23</v>
      </c>
      <c r="O22" s="37">
        <f>IF(ISNUMBER('1. Datos brutos'!P21),IF('1. Datos brutos'!P21&gt;30,"Hiper.",'1. Datos brutos'!P21),"")</f>
        <v>2.4900000000000002</v>
      </c>
      <c r="P22" s="37">
        <f>IF(ISNUMBER('1. Datos brutos'!Q21),IF('1. Datos brutos'!Q21&gt;30,"Hiper.",'1. Datos brutos'!Q21),"")</f>
        <v>2.67</v>
      </c>
      <c r="Q22" s="37">
        <f>IF(ISNUMBER('1. Datos brutos'!R21),IF('1. Datos brutos'!R21&gt;30,"Hiper.",'1. Datos brutos'!R21),"")</f>
        <v>2.31</v>
      </c>
      <c r="R22" s="36">
        <f>IF(ISNUMBER('1. Datos brutos'!S21),IF('1. Datos brutos'!S21&gt;30,"Hiper.",'1. Datos brutos'!S21),"")</f>
        <v>3.4</v>
      </c>
      <c r="S22" s="39">
        <f>IF(ISNUMBER('1. Datos brutos'!T21),IF('1. Datos brutos'!T21&gt;30,"Hiper.",'1. Datos brutos'!T21),"")</f>
        <v>0.37</v>
      </c>
      <c r="T22" s="37">
        <f>IF(ISNUMBER('1. Datos brutos'!U21),IF('1. Datos brutos'!U21&gt;30,"Hiper.",'1. Datos brutos'!U21),"")</f>
        <v>2.27</v>
      </c>
      <c r="U22" s="36">
        <f>IF(ISNUMBER('1. Datos brutos'!V21),IF('1. Datos brutos'!V21&gt;30,"Hiper.",'1. Datos brutos'!V21),"")</f>
        <v>3.41</v>
      </c>
      <c r="V22" s="37">
        <f>IF(ISNUMBER('1. Datos brutos'!W21),IF('1. Datos brutos'!W21&gt;30,"Hiper.",'1. Datos brutos'!W21),"")</f>
        <v>2.66</v>
      </c>
      <c r="W22" s="38">
        <f>IF(ISNUMBER('1. Datos brutos'!X21),IF('1. Datos brutos'!X21&gt;30,"Hiper.",'1. Datos brutos'!X21),"")</f>
        <v>1.73</v>
      </c>
      <c r="X22" s="39">
        <f>IF(ISNUMBER('1. Datos brutos'!Y21),IF('1. Datos brutos'!Y21&gt;30,"Hiper.",'1. Datos brutos'!Y21),"")</f>
        <v>0.63</v>
      </c>
      <c r="Y22" s="39">
        <f>IF(ISNUMBER('1. Datos brutos'!Z21),IF('1. Datos brutos'!Z21&gt;30,"Hiper.",'1. Datos brutos'!Z21),"")</f>
        <v>0.47</v>
      </c>
      <c r="Z22" s="39">
        <f>IF(ISNUMBER('1. Datos brutos'!AA21),IF('1. Datos brutos'!AA21&gt;30,"Hiper.",'1. Datos brutos'!AA21),"")</f>
        <v>0.28999999999999998</v>
      </c>
      <c r="AA22" s="38">
        <f>IF(ISNUMBER('1. Datos brutos'!AB21),IF('1. Datos brutos'!AB21&gt;30,"Hiper.",'1. Datos brutos'!AB21),"")</f>
        <v>1.73</v>
      </c>
      <c r="AB22" s="38">
        <f>IF(ISNUMBER('1. Datos brutos'!AC21),IF('1. Datos brutos'!AC21&gt;30,"Hiper.",'1. Datos brutos'!AC21),"")</f>
        <v>1.53</v>
      </c>
      <c r="AC22" s="38">
        <f>IF(ISNUMBER('1. Datos brutos'!AD21),IF('1. Datos brutos'!AD21&gt;30,"Hiper.",'1. Datos brutos'!AD21),"")</f>
        <v>1.74</v>
      </c>
      <c r="AD22" s="39">
        <f>IF(ISNUMBER('1. Datos brutos'!AE21),IF('1. Datos brutos'!AE21&gt;30,"Hiper.",'1. Datos brutos'!AE21),"")</f>
        <v>0.82</v>
      </c>
      <c r="AE22" s="37">
        <f>IF(ISNUMBER('1. Datos brutos'!AF21),IF('1. Datos brutos'!AF21&gt;30,"Hiper.",'1. Datos brutos'!AF21),"")</f>
        <v>2.5299999999999998</v>
      </c>
      <c r="AF22" s="40">
        <f>IF(ISNUMBER('1. Datos brutos'!AG21),IF('1. Datos brutos'!AG21&gt;30,"Hiper.",'1. Datos brutos'!AG21),"")</f>
        <v>6.34</v>
      </c>
      <c r="AG22" s="36">
        <f>IF(ISNUMBER('1. Datos brutos'!AH21),IF('1. Datos brutos'!AH21&gt;30,"Hiper.",'1. Datos brutos'!AH21),"")</f>
        <v>3.74</v>
      </c>
      <c r="AH22" s="37">
        <f>IF(ISNUMBER('1. Datos brutos'!AI21),IF('1. Datos brutos'!AI21&gt;30,"Hiper.",'1. Datos brutos'!AI21),"")</f>
        <v>2.0499999999999998</v>
      </c>
      <c r="AI22" s="39">
        <f>IF(ISNUMBER('1. Datos brutos'!AJ21),IF('1. Datos brutos'!AJ21&gt;30,"Hiper.",'1. Datos brutos'!AJ21),"")</f>
        <v>0</v>
      </c>
    </row>
    <row r="23" spans="1:35" x14ac:dyDescent="0.35">
      <c r="A23" s="35" t="str">
        <f>'1. Datos brutos'!B22</f>
        <v>Malta</v>
      </c>
      <c r="B23" s="5" t="str">
        <f>'1. Datos brutos'!C22</f>
        <v>Eurozona core</v>
      </c>
      <c r="C23" s="36">
        <f>IF(ISNUMBER('1. Datos brutos'!D22),IF('1. Datos brutos'!D22&gt;30,"Hiper.",'1. Datos brutos'!D22),"")</f>
        <v>4.1399999999999997</v>
      </c>
      <c r="D23" s="36">
        <f>IF(ISNUMBER('1. Datos brutos'!E22),IF('1. Datos brutos'!E22&gt;30,"Hiper.",'1. Datos brutos'!E22),"")</f>
        <v>4.13</v>
      </c>
      <c r="E23" s="36">
        <f>IF(ISNUMBER('1. Datos brutos'!F22),IF('1. Datos brutos'!F22&gt;30,"Hiper.",'1. Datos brutos'!F22),"")</f>
        <v>4.43</v>
      </c>
      <c r="F23" s="37">
        <f>IF(ISNUMBER('1. Datos brutos'!G22),IF('1. Datos brutos'!G22&gt;30,"Hiper.",'1. Datos brutos'!G22),"")</f>
        <v>2.0499999999999998</v>
      </c>
      <c r="G23" s="36">
        <f>IF(ISNUMBER('1. Datos brutos'!H22),IF('1. Datos brutos'!H22&gt;30,"Hiper.",'1. Datos brutos'!H22),"")</f>
        <v>3.11</v>
      </c>
      <c r="H23" s="37">
        <f>IF(ISNUMBER('1. Datos brutos'!I22),IF('1. Datos brutos'!I22&gt;30,"Hiper.",'1. Datos brutos'!I22),"")</f>
        <v>2.39</v>
      </c>
      <c r="I23" s="37">
        <f>IF(ISNUMBER('1. Datos brutos'!J22),IF('1. Datos brutos'!J22&gt;30,"Hiper.",'1. Datos brutos'!J22),"")</f>
        <v>2.13</v>
      </c>
      <c r="J23" s="37">
        <f>IF(ISNUMBER('1. Datos brutos'!K22),IF('1. Datos brutos'!K22&gt;30,"Hiper.",'1. Datos brutos'!K22),"")</f>
        <v>2.37</v>
      </c>
      <c r="K23" s="37">
        <f>IF(ISNUMBER('1. Datos brutos'!L22),IF('1. Datos brutos'!L22&gt;30,"Hiper.",'1. Datos brutos'!L22),"")</f>
        <v>2.93</v>
      </c>
      <c r="L23" s="37">
        <f>IF(ISNUMBER('1. Datos brutos'!M22),IF('1. Datos brutos'!M22&gt;30,"Hiper.",'1. Datos brutos'!M22),"")</f>
        <v>2.19</v>
      </c>
      <c r="M23" s="38">
        <f>IF(ISNUMBER('1. Datos brutos'!N22),IF('1. Datos brutos'!N22&gt;30,"Hiper.",'1. Datos brutos'!N22),"")</f>
        <v>1.3</v>
      </c>
      <c r="N23" s="37">
        <f>IF(ISNUMBER('1. Datos brutos'!O22),IF('1. Datos brutos'!O22&gt;30,"Hiper.",'1. Datos brutos'!O22),"")</f>
        <v>2.79</v>
      </c>
      <c r="O23" s="36">
        <f>IF(ISNUMBER('1. Datos brutos'!P22),IF('1. Datos brutos'!P22&gt;30,"Hiper.",'1. Datos brutos'!P22),"")</f>
        <v>3.01</v>
      </c>
      <c r="P23" s="37">
        <f>IF(ISNUMBER('1. Datos brutos'!Q22),IF('1. Datos brutos'!Q22&gt;30,"Hiper.",'1. Datos brutos'!Q22),"")</f>
        <v>2.77</v>
      </c>
      <c r="Q23" s="38">
        <f>IF(ISNUMBER('1. Datos brutos'!R22),IF('1. Datos brutos'!R22&gt;30,"Hiper.",'1. Datos brutos'!R22),"")</f>
        <v>1.25</v>
      </c>
      <c r="R23" s="36">
        <f>IF(ISNUMBER('1. Datos brutos'!S22),IF('1. Datos brutos'!S22&gt;30,"Hiper.",'1. Datos brutos'!S22),"")</f>
        <v>4.26</v>
      </c>
      <c r="S23" s="37">
        <f>IF(ISNUMBER('1. Datos brutos'!T22),IF('1. Datos brutos'!T22&gt;30,"Hiper.",'1. Datos brutos'!T22),"")</f>
        <v>2.08</v>
      </c>
      <c r="T23" s="38">
        <f>IF(ISNUMBER('1. Datos brutos'!U22),IF('1. Datos brutos'!U22&gt;30,"Hiper.",'1. Datos brutos'!U22),"")</f>
        <v>1.52</v>
      </c>
      <c r="U23" s="37">
        <f>IF(ISNUMBER('1. Datos brutos'!V22),IF('1. Datos brutos'!V22&gt;30,"Hiper.",'1. Datos brutos'!V22),"")</f>
        <v>2.96</v>
      </c>
      <c r="V23" s="37">
        <f>IF(ISNUMBER('1. Datos brutos'!W22),IF('1. Datos brutos'!W22&gt;30,"Hiper.",'1. Datos brutos'!W22),"")</f>
        <v>2.38</v>
      </c>
      <c r="W23" s="38">
        <f>IF(ISNUMBER('1. Datos brutos'!X22),IF('1. Datos brutos'!X22&gt;30,"Hiper.",'1. Datos brutos'!X22),"")</f>
        <v>1.18</v>
      </c>
      <c r="X23" s="39">
        <f>IF(ISNUMBER('1. Datos brutos'!Y22),IF('1. Datos brutos'!Y22&gt;30,"Hiper.",'1. Datos brutos'!Y22),"")</f>
        <v>0.31</v>
      </c>
      <c r="Y23" s="38">
        <f>IF(ISNUMBER('1. Datos brutos'!Z22),IF('1. Datos brutos'!Z22&gt;30,"Hiper.",'1. Datos brutos'!Z22),"")</f>
        <v>1.1000000000000001</v>
      </c>
      <c r="Z23" s="39">
        <f>IF(ISNUMBER('1. Datos brutos'!AA22),IF('1. Datos brutos'!AA22&gt;30,"Hiper.",'1. Datos brutos'!AA22),"")</f>
        <v>0.64</v>
      </c>
      <c r="AA23" s="38">
        <f>IF(ISNUMBER('1. Datos brutos'!AB22),IF('1. Datos brutos'!AB22&gt;30,"Hiper.",'1. Datos brutos'!AB22),"")</f>
        <v>1.36</v>
      </c>
      <c r="AB23" s="38">
        <f>IF(ISNUMBER('1. Datos brutos'!AC22),IF('1. Datos brutos'!AC22&gt;30,"Hiper.",'1. Datos brutos'!AC22),"")</f>
        <v>1.1599999999999999</v>
      </c>
      <c r="AC23" s="38">
        <f>IF(ISNUMBER('1. Datos brutos'!AD22),IF('1. Datos brutos'!AD22&gt;30,"Hiper.",'1. Datos brutos'!AD22),"")</f>
        <v>1.64</v>
      </c>
      <c r="AD23" s="39">
        <f>IF(ISNUMBER('1. Datos brutos'!AE22),IF('1. Datos brutos'!AE22&gt;30,"Hiper.",'1. Datos brutos'!AE22),"")</f>
        <v>0.64</v>
      </c>
      <c r="AE23" s="38">
        <f>IF(ISNUMBER('1. Datos brutos'!AF22),IF('1. Datos brutos'!AF22&gt;30,"Hiper.",'1. Datos brutos'!AF22),"")</f>
        <v>1.5</v>
      </c>
      <c r="AF23" s="40">
        <f>IF(ISNUMBER('1. Datos brutos'!AG22),IF('1. Datos brutos'!AG22&gt;30,"Hiper.",'1. Datos brutos'!AG22),"")</f>
        <v>6.15</v>
      </c>
      <c r="AG23" s="40">
        <f>IF(ISNUMBER('1. Datos brutos'!AH22),IF('1. Datos brutos'!AH22&gt;30,"Hiper.",'1. Datos brutos'!AH22),"")</f>
        <v>5.09</v>
      </c>
      <c r="AH23" s="38">
        <f>IF(ISNUMBER('1. Datos brutos'!AI22),IF('1. Datos brutos'!AI22&gt;30,"Hiper.",'1. Datos brutos'!AI22),"")</f>
        <v>1.65</v>
      </c>
      <c r="AI23" s="39">
        <f>IF(ISNUMBER('1. Datos brutos'!AJ22),IF('1. Datos brutos'!AJ22&gt;30,"Hiper.",'1. Datos brutos'!AJ22),"")</f>
        <v>0</v>
      </c>
    </row>
    <row r="24" spans="1:35" x14ac:dyDescent="0.35">
      <c r="A24" s="35" t="str">
        <f>'1. Datos brutos'!B23</f>
        <v>P. Bajos</v>
      </c>
      <c r="B24" s="5" t="str">
        <f>'1. Datos brutos'!C23</f>
        <v>Eurozona core</v>
      </c>
      <c r="C24" s="37">
        <f>IF(ISNUMBER('1. Datos brutos'!D23),IF('1. Datos brutos'!D23&gt;30,"Hiper.",'1. Datos brutos'!D23),"")</f>
        <v>2.58</v>
      </c>
      <c r="D24" s="37">
        <f>IF(ISNUMBER('1. Datos brutos'!E23),IF('1. Datos brutos'!E23&gt;30,"Hiper.",'1. Datos brutos'!E23),"")</f>
        <v>2.8</v>
      </c>
      <c r="E24" s="38">
        <f>IF(ISNUMBER('1. Datos brutos'!F23),IF('1. Datos brutos'!F23&gt;30,"Hiper.",'1. Datos brutos'!F23),"")</f>
        <v>1.92</v>
      </c>
      <c r="F24" s="37">
        <f>IF(ISNUMBER('1. Datos brutos'!G23),IF('1. Datos brutos'!G23&gt;30,"Hiper.",'1. Datos brutos'!G23),"")</f>
        <v>2.11</v>
      </c>
      <c r="G24" s="37">
        <f>IF(ISNUMBER('1. Datos brutos'!H23),IF('1. Datos brutos'!H23&gt;30,"Hiper.",'1. Datos brutos'!H23),"")</f>
        <v>2.11</v>
      </c>
      <c r="H24" s="38">
        <f>IF(ISNUMBER('1. Datos brutos'!I23),IF('1. Datos brutos'!I23&gt;30,"Hiper.",'1. Datos brutos'!I23),"")</f>
        <v>1.96</v>
      </c>
      <c r="I24" s="37">
        <f>IF(ISNUMBER('1. Datos brutos'!J23),IF('1. Datos brutos'!J23&gt;30,"Hiper.",'1. Datos brutos'!J23),"")</f>
        <v>2.16</v>
      </c>
      <c r="J24" s="37">
        <f>IF(ISNUMBER('1. Datos brutos'!K23),IF('1. Datos brutos'!K23&gt;30,"Hiper.",'1. Datos brutos'!K23),"")</f>
        <v>2.36</v>
      </c>
      <c r="K24" s="36">
        <f>IF(ISNUMBER('1. Datos brutos'!L23),IF('1. Datos brutos'!L23&gt;30,"Hiper.",'1. Datos brutos'!L23),"")</f>
        <v>4.16</v>
      </c>
      <c r="L24" s="36">
        <f>IF(ISNUMBER('1. Datos brutos'!M23),IF('1. Datos brutos'!M23&gt;30,"Hiper.",'1. Datos brutos'!M23),"")</f>
        <v>3.29</v>
      </c>
      <c r="M24" s="37">
        <f>IF(ISNUMBER('1. Datos brutos'!N23),IF('1. Datos brutos'!N23&gt;30,"Hiper.",'1. Datos brutos'!N23),"")</f>
        <v>2.09</v>
      </c>
      <c r="N24" s="38">
        <f>IF(ISNUMBER('1. Datos brutos'!O23),IF('1. Datos brutos'!O23&gt;30,"Hiper.",'1. Datos brutos'!O23),"")</f>
        <v>1.26</v>
      </c>
      <c r="O24" s="38">
        <f>IF(ISNUMBER('1. Datos brutos'!P23),IF('1. Datos brutos'!P23&gt;30,"Hiper.",'1. Datos brutos'!P23),"")</f>
        <v>1.69</v>
      </c>
      <c r="P24" s="38">
        <f>IF(ISNUMBER('1. Datos brutos'!Q23),IF('1. Datos brutos'!Q23&gt;30,"Hiper.",'1. Datos brutos'!Q23),"")</f>
        <v>1.1000000000000001</v>
      </c>
      <c r="Q24" s="38">
        <f>IF(ISNUMBER('1. Datos brutos'!R23),IF('1. Datos brutos'!R23&gt;30,"Hiper.",'1. Datos brutos'!R23),"")</f>
        <v>1.61</v>
      </c>
      <c r="R24" s="37">
        <f>IF(ISNUMBER('1. Datos brutos'!S23),IF('1. Datos brutos'!S23&gt;30,"Hiper.",'1. Datos brutos'!S23),"")</f>
        <v>2.4900000000000002</v>
      </c>
      <c r="S24" s="38">
        <f>IF(ISNUMBER('1. Datos brutos'!T23),IF('1. Datos brutos'!T23&gt;30,"Hiper.",'1. Datos brutos'!T23),"")</f>
        <v>1.19</v>
      </c>
      <c r="T24" s="38">
        <f>IF(ISNUMBER('1. Datos brutos'!U23),IF('1. Datos brutos'!U23&gt;30,"Hiper.",'1. Datos brutos'!U23),"")</f>
        <v>1.28</v>
      </c>
      <c r="U24" s="37">
        <f>IF(ISNUMBER('1. Datos brutos'!V23),IF('1. Datos brutos'!V23&gt;30,"Hiper.",'1. Datos brutos'!V23),"")</f>
        <v>2.34</v>
      </c>
      <c r="V24" s="37">
        <f>IF(ISNUMBER('1. Datos brutos'!W23),IF('1. Datos brutos'!W23&gt;30,"Hiper.",'1. Datos brutos'!W23),"")</f>
        <v>2.46</v>
      </c>
      <c r="W24" s="37">
        <f>IF(ISNUMBER('1. Datos brutos'!X23),IF('1. Datos brutos'!X23&gt;30,"Hiper.",'1. Datos brutos'!X23),"")</f>
        <v>2.5099999999999998</v>
      </c>
      <c r="X24" s="39">
        <f>IF(ISNUMBER('1. Datos brutos'!Y23),IF('1. Datos brutos'!Y23&gt;30,"Hiper.",'1. Datos brutos'!Y23),"")</f>
        <v>0.98</v>
      </c>
      <c r="Y24" s="39">
        <f>IF(ISNUMBER('1. Datos brutos'!Z23),IF('1. Datos brutos'!Z23&gt;30,"Hiper.",'1. Datos brutos'!Z23),"")</f>
        <v>0.6</v>
      </c>
      <c r="Z24" s="39">
        <f>IF(ISNUMBER('1. Datos brutos'!AA23),IF('1. Datos brutos'!AA23&gt;30,"Hiper.",'1. Datos brutos'!AA23),"")</f>
        <v>0.32</v>
      </c>
      <c r="AA24" s="38">
        <f>IF(ISNUMBER('1. Datos brutos'!AB23),IF('1. Datos brutos'!AB23&gt;30,"Hiper.",'1. Datos brutos'!AB23),"")</f>
        <v>1.38</v>
      </c>
      <c r="AB24" s="38">
        <f>IF(ISNUMBER('1. Datos brutos'!AC23),IF('1. Datos brutos'!AC23&gt;30,"Hiper.",'1. Datos brutos'!AC23),"")</f>
        <v>1.7</v>
      </c>
      <c r="AC24" s="37">
        <f>IF(ISNUMBER('1. Datos brutos'!AD23),IF('1. Datos brutos'!AD23&gt;30,"Hiper.",'1. Datos brutos'!AD23),"")</f>
        <v>2.63</v>
      </c>
      <c r="AD24" s="38">
        <f>IF(ISNUMBER('1. Datos brutos'!AE23),IF('1. Datos brutos'!AE23&gt;30,"Hiper.",'1. Datos brutos'!AE23),"")</f>
        <v>1.27</v>
      </c>
      <c r="AE24" s="37">
        <f>IF(ISNUMBER('1. Datos brutos'!AF23),IF('1. Datos brutos'!AF23&gt;30,"Hiper.",'1. Datos brutos'!AF23),"")</f>
        <v>2.68</v>
      </c>
      <c r="AF24" s="43">
        <f>IF(ISNUMBER('1. Datos brutos'!AG23),IF('1. Datos brutos'!AG23&gt;30,"Hiper.",'1. Datos brutos'!AG23),"")</f>
        <v>10</v>
      </c>
      <c r="AG24" s="36">
        <f>IF(ISNUMBER('1. Datos brutos'!AH23),IF('1. Datos brutos'!AH23&gt;30,"Hiper.",'1. Datos brutos'!AH23),"")</f>
        <v>3.84</v>
      </c>
      <c r="AH24" s="36">
        <f>IF(ISNUMBER('1. Datos brutos'!AI23),IF('1. Datos brutos'!AI23&gt;30,"Hiper.",'1. Datos brutos'!AI23),"")</f>
        <v>3.35</v>
      </c>
      <c r="AI24" s="39">
        <f>IF(ISNUMBER('1. Datos brutos'!AJ23),IF('1. Datos brutos'!AJ23&gt;30,"Hiper.",'1. Datos brutos'!AJ23),"")</f>
        <v>0</v>
      </c>
    </row>
    <row r="25" spans="1:35" x14ac:dyDescent="0.35">
      <c r="A25" s="35" t="str">
        <f>'1. Datos brutos'!B24</f>
        <v>Portugal</v>
      </c>
      <c r="B25" s="5" t="str">
        <f>'1. Datos brutos'!C24</f>
        <v>Eurozona core</v>
      </c>
      <c r="C25" s="40">
        <f>IF(ISNUMBER('1. Datos brutos'!D24),IF('1. Datos brutos'!D24&gt;30,"Hiper.",'1. Datos brutos'!D24),"")</f>
        <v>6.78</v>
      </c>
      <c r="D25" s="40">
        <f>IF(ISNUMBER('1. Datos brutos'!E24),IF('1. Datos brutos'!E24&gt;30,"Hiper.",'1. Datos brutos'!E24),"")</f>
        <v>5.42</v>
      </c>
      <c r="E25" s="36">
        <f>IF(ISNUMBER('1. Datos brutos'!F24),IF('1. Datos brutos'!F24&gt;30,"Hiper.",'1. Datos brutos'!F24),"")</f>
        <v>4.22</v>
      </c>
      <c r="F25" s="36">
        <f>IF(ISNUMBER('1. Datos brutos'!G24),IF('1. Datos brutos'!G24&gt;30,"Hiper.",'1. Datos brutos'!G24),"")</f>
        <v>3.07</v>
      </c>
      <c r="G25" s="37">
        <f>IF(ISNUMBER('1. Datos brutos'!H24),IF('1. Datos brutos'!H24&gt;30,"Hiper.",'1. Datos brutos'!H24),"")</f>
        <v>2.34</v>
      </c>
      <c r="H25" s="37">
        <f>IF(ISNUMBER('1. Datos brutos'!I24),IF('1. Datos brutos'!I24&gt;30,"Hiper.",'1. Datos brutos'!I24),"")</f>
        <v>2.57</v>
      </c>
      <c r="I25" s="37">
        <f>IF(ISNUMBER('1. Datos brutos'!J24),IF('1. Datos brutos'!J24&gt;30,"Hiper.",'1. Datos brutos'!J24),"")</f>
        <v>2.34</v>
      </c>
      <c r="J25" s="37">
        <f>IF(ISNUMBER('1. Datos brutos'!K24),IF('1. Datos brutos'!K24&gt;30,"Hiper.",'1. Datos brutos'!K24),"")</f>
        <v>2.85</v>
      </c>
      <c r="K25" s="36">
        <f>IF(ISNUMBER('1. Datos brutos'!L24),IF('1. Datos brutos'!L24&gt;30,"Hiper.",'1. Datos brutos'!L24),"")</f>
        <v>4.37</v>
      </c>
      <c r="L25" s="36">
        <f>IF(ISNUMBER('1. Datos brutos'!M24),IF('1. Datos brutos'!M24&gt;30,"Hiper.",'1. Datos brutos'!M24),"")</f>
        <v>3.6</v>
      </c>
      <c r="M25" s="36">
        <f>IF(ISNUMBER('1. Datos brutos'!N24),IF('1. Datos brutos'!N24&gt;30,"Hiper.",'1. Datos brutos'!N24),"")</f>
        <v>3.22</v>
      </c>
      <c r="N25" s="37">
        <f>IF(ISNUMBER('1. Datos brutos'!O24),IF('1. Datos brutos'!O24&gt;30,"Hiper.",'1. Datos brutos'!O24),"")</f>
        <v>2.37</v>
      </c>
      <c r="O25" s="37">
        <f>IF(ISNUMBER('1. Datos brutos'!P24),IF('1. Datos brutos'!P24&gt;30,"Hiper.",'1. Datos brutos'!P24),"")</f>
        <v>2.2799999999999998</v>
      </c>
      <c r="P25" s="36">
        <f>IF(ISNUMBER('1. Datos brutos'!Q24),IF('1. Datos brutos'!Q24&gt;30,"Hiper.",'1. Datos brutos'!Q24),"")</f>
        <v>3.11</v>
      </c>
      <c r="Q25" s="37">
        <f>IF(ISNUMBER('1. Datos brutos'!R24),IF('1. Datos brutos'!R24&gt;30,"Hiper.",'1. Datos brutos'!R24),"")</f>
        <v>2.4500000000000002</v>
      </c>
      <c r="R25" s="37">
        <f>IF(ISNUMBER('1. Datos brutos'!S24),IF('1. Datos brutos'!S24&gt;30,"Hiper.",'1. Datos brutos'!S24),"")</f>
        <v>2.59</v>
      </c>
      <c r="S25" s="42">
        <f>IF(ISNUMBER('1. Datos brutos'!T24),IF('1. Datos brutos'!T24&gt;30,"Hiper.",'1. Datos brutos'!T24),"")</f>
        <v>-0.84</v>
      </c>
      <c r="T25" s="38">
        <f>IF(ISNUMBER('1. Datos brutos'!U24),IF('1. Datos brutos'!U24&gt;30,"Hiper.",'1. Datos brutos'!U24),"")</f>
        <v>1.4</v>
      </c>
      <c r="U25" s="36">
        <f>IF(ISNUMBER('1. Datos brutos'!V24),IF('1. Datos brutos'!V24&gt;30,"Hiper.",'1. Datos brutos'!V24),"")</f>
        <v>3.65</v>
      </c>
      <c r="V25" s="37">
        <f>IF(ISNUMBER('1. Datos brutos'!W24),IF('1. Datos brutos'!W24&gt;30,"Hiper.",'1. Datos brutos'!W24),"")</f>
        <v>2.77</v>
      </c>
      <c r="W25" s="39">
        <f>IF(ISNUMBER('1. Datos brutos'!X24),IF('1. Datos brutos'!X24&gt;30,"Hiper.",'1. Datos brutos'!X24),"")</f>
        <v>0.27</v>
      </c>
      <c r="X25" s="42">
        <f>IF(ISNUMBER('1. Datos brutos'!Y24),IF('1. Datos brutos'!Y24&gt;30,"Hiper.",'1. Datos brutos'!Y24),"")</f>
        <v>-0.28000000000000003</v>
      </c>
      <c r="Y25" s="39">
        <f>IF(ISNUMBER('1. Datos brutos'!Z24),IF('1. Datos brutos'!Z24&gt;30,"Hiper.",'1. Datos brutos'!Z24),"")</f>
        <v>0.49</v>
      </c>
      <c r="Z25" s="39">
        <f>IF(ISNUMBER('1. Datos brutos'!AA24),IF('1. Datos brutos'!AA24&gt;30,"Hiper.",'1. Datos brutos'!AA24),"")</f>
        <v>0.61</v>
      </c>
      <c r="AA25" s="38">
        <f>IF(ISNUMBER('1. Datos brutos'!AB24),IF('1. Datos brutos'!AB24&gt;30,"Hiper.",'1. Datos brutos'!AB24),"")</f>
        <v>1.37</v>
      </c>
      <c r="AB25" s="39">
        <f>IF(ISNUMBER('1. Datos brutos'!AC24),IF('1. Datos brutos'!AC24&gt;30,"Hiper.",'1. Datos brutos'!AC24),"")</f>
        <v>0.99</v>
      </c>
      <c r="AC25" s="39">
        <f>IF(ISNUMBER('1. Datos brutos'!AD24),IF('1. Datos brutos'!AD24&gt;30,"Hiper.",'1. Datos brutos'!AD24),"")</f>
        <v>0.34</v>
      </c>
      <c r="AD25" s="42">
        <f>IF(ISNUMBER('1. Datos brutos'!AE24),IF('1. Datos brutos'!AE24&gt;30,"Hiper.",'1. Datos brutos'!AE24),"")</f>
        <v>-0.01</v>
      </c>
      <c r="AE25" s="38">
        <f>IF(ISNUMBER('1. Datos brutos'!AF24),IF('1. Datos brutos'!AF24&gt;30,"Hiper.",'1. Datos brutos'!AF24),"")</f>
        <v>1.27</v>
      </c>
      <c r="AF25" s="41">
        <f>IF(ISNUMBER('1. Datos brutos'!AG24),IF('1. Datos brutos'!AG24&gt;30,"Hiper.",'1. Datos brutos'!AG24),"")</f>
        <v>7.83</v>
      </c>
      <c r="AG25" s="36">
        <f>IF(ISNUMBER('1. Datos brutos'!AH24),IF('1. Datos brutos'!AH24&gt;30,"Hiper.",'1. Datos brutos'!AH24),"")</f>
        <v>4.3099999999999996</v>
      </c>
      <c r="AH25" s="37">
        <f>IF(ISNUMBER('1. Datos brutos'!AI24),IF('1. Datos brutos'!AI24&gt;30,"Hiper.",'1. Datos brutos'!AI24),"")</f>
        <v>2.42</v>
      </c>
      <c r="AI25" s="39">
        <f>IF(ISNUMBER('1. Datos brutos'!AJ24),IF('1. Datos brutos'!AJ24&gt;30,"Hiper.",'1. Datos brutos'!AJ24),"")</f>
        <v>0</v>
      </c>
    </row>
    <row r="26" spans="1:35" x14ac:dyDescent="0.35">
      <c r="A26" s="35" t="str">
        <f>'1. Datos brutos'!B25</f>
        <v>EE.UU.</v>
      </c>
      <c r="B26" s="11" t="str">
        <f>'1. Datos brutos'!C25</f>
        <v>EE.UU.</v>
      </c>
      <c r="C26" s="37">
        <f>IF(ISNUMBER('1. Datos brutos'!D25),IF('1. Datos brutos'!D25&gt;30,"Hiper.",'1. Datos brutos'!D25),"")</f>
        <v>2.95</v>
      </c>
      <c r="D26" s="37">
        <f>IF(ISNUMBER('1. Datos brutos'!E25),IF('1. Datos brutos'!E25&gt;30,"Hiper.",'1. Datos brutos'!E25),"")</f>
        <v>2.61</v>
      </c>
      <c r="E26" s="37">
        <f>IF(ISNUMBER('1. Datos brutos'!F25),IF('1. Datos brutos'!F25&gt;30,"Hiper.",'1. Datos brutos'!F25),"")</f>
        <v>2.81</v>
      </c>
      <c r="F26" s="37">
        <f>IF(ISNUMBER('1. Datos brutos'!G25),IF('1. Datos brutos'!G25&gt;30,"Hiper.",'1. Datos brutos'!G25),"")</f>
        <v>2.93</v>
      </c>
      <c r="G26" s="37">
        <f>IF(ISNUMBER('1. Datos brutos'!H25),IF('1. Datos brutos'!H25&gt;30,"Hiper.",'1. Datos brutos'!H25),"")</f>
        <v>2.34</v>
      </c>
      <c r="H26" s="38">
        <f>IF(ISNUMBER('1. Datos brutos'!I25),IF('1. Datos brutos'!I25&gt;30,"Hiper.",'1. Datos brutos'!I25),"")</f>
        <v>1.55</v>
      </c>
      <c r="I26" s="37">
        <f>IF(ISNUMBER('1. Datos brutos'!J25),IF('1. Datos brutos'!J25&gt;30,"Hiper.",'1. Datos brutos'!J25),"")</f>
        <v>2.19</v>
      </c>
      <c r="J26" s="36">
        <f>IF(ISNUMBER('1. Datos brutos'!K25),IF('1. Datos brutos'!K25&gt;30,"Hiper.",'1. Datos brutos'!K25),"")</f>
        <v>3.38</v>
      </c>
      <c r="K26" s="37">
        <f>IF(ISNUMBER('1. Datos brutos'!L25),IF('1. Datos brutos'!L25&gt;30,"Hiper.",'1. Datos brutos'!L25),"")</f>
        <v>2.83</v>
      </c>
      <c r="L26" s="38">
        <f>IF(ISNUMBER('1. Datos brutos'!M25),IF('1. Datos brutos'!M25&gt;30,"Hiper.",'1. Datos brutos'!M25),"")</f>
        <v>1.59</v>
      </c>
      <c r="M26" s="37">
        <f>IF(ISNUMBER('1. Datos brutos'!N25),IF('1. Datos brutos'!N25&gt;30,"Hiper.",'1. Datos brutos'!N25),"")</f>
        <v>2.27</v>
      </c>
      <c r="N26" s="37">
        <f>IF(ISNUMBER('1. Datos brutos'!O25),IF('1. Datos brutos'!O25&gt;30,"Hiper.",'1. Datos brutos'!O25),"")</f>
        <v>2.68</v>
      </c>
      <c r="O26" s="36">
        <f>IF(ISNUMBER('1. Datos brutos'!P25),IF('1. Datos brutos'!P25&gt;30,"Hiper.",'1. Datos brutos'!P25),"")</f>
        <v>3.39</v>
      </c>
      <c r="P26" s="36">
        <f>IF(ISNUMBER('1. Datos brutos'!Q25),IF('1. Datos brutos'!Q25&gt;30,"Hiper.",'1. Datos brutos'!Q25),"")</f>
        <v>3.23</v>
      </c>
      <c r="Q26" s="37">
        <f>IF(ISNUMBER('1. Datos brutos'!R25),IF('1. Datos brutos'!R25&gt;30,"Hiper.",'1. Datos brutos'!R25),"")</f>
        <v>2.85</v>
      </c>
      <c r="R26" s="36">
        <f>IF(ISNUMBER('1. Datos brutos'!S25),IF('1. Datos brutos'!S25&gt;30,"Hiper.",'1. Datos brutos'!S25),"")</f>
        <v>3.84</v>
      </c>
      <c r="S26" s="42">
        <f>IF(ISNUMBER('1. Datos brutos'!T25),IF('1. Datos brutos'!T25&gt;30,"Hiper.",'1. Datos brutos'!T25),"")</f>
        <v>-0.36</v>
      </c>
      <c r="T26" s="38">
        <f>IF(ISNUMBER('1. Datos brutos'!U25),IF('1. Datos brutos'!U25&gt;30,"Hiper.",'1. Datos brutos'!U25),"")</f>
        <v>1.64</v>
      </c>
      <c r="U26" s="36">
        <f>IF(ISNUMBER('1. Datos brutos'!V25),IF('1. Datos brutos'!V25&gt;30,"Hiper.",'1. Datos brutos'!V25),"")</f>
        <v>3.16</v>
      </c>
      <c r="V26" s="37">
        <f>IF(ISNUMBER('1. Datos brutos'!W25),IF('1. Datos brutos'!W25&gt;30,"Hiper.",'1. Datos brutos'!W25),"")</f>
        <v>2.0699999999999998</v>
      </c>
      <c r="W26" s="38">
        <f>IF(ISNUMBER('1. Datos brutos'!X25),IF('1. Datos brutos'!X25&gt;30,"Hiper.",'1. Datos brutos'!X25),"")</f>
        <v>1.46</v>
      </c>
      <c r="X26" s="38">
        <f>IF(ISNUMBER('1. Datos brutos'!Y25),IF('1. Datos brutos'!Y25&gt;30,"Hiper.",'1. Datos brutos'!Y25),"")</f>
        <v>1.62</v>
      </c>
      <c r="Y26" s="39">
        <f>IF(ISNUMBER('1. Datos brutos'!Z25),IF('1. Datos brutos'!Z25&gt;30,"Hiper.",'1. Datos brutos'!Z25),"")</f>
        <v>0.12</v>
      </c>
      <c r="Z26" s="38">
        <f>IF(ISNUMBER('1. Datos brutos'!AA25),IF('1. Datos brutos'!AA25&gt;30,"Hiper.",'1. Datos brutos'!AA25),"")</f>
        <v>1.26</v>
      </c>
      <c r="AA26" s="37">
        <f>IF(ISNUMBER('1. Datos brutos'!AB25),IF('1. Datos brutos'!AB25&gt;30,"Hiper.",'1. Datos brutos'!AB25),"")</f>
        <v>2.13</v>
      </c>
      <c r="AB26" s="37">
        <f>IF(ISNUMBER('1. Datos brutos'!AC25),IF('1. Datos brutos'!AC25&gt;30,"Hiper.",'1. Datos brutos'!AC25),"")</f>
        <v>2.44</v>
      </c>
      <c r="AC26" s="38">
        <f>IF(ISNUMBER('1. Datos brutos'!AD25),IF('1. Datos brutos'!AD25&gt;30,"Hiper.",'1. Datos brutos'!AD25),"")</f>
        <v>1.81</v>
      </c>
      <c r="AD26" s="38">
        <f>IF(ISNUMBER('1. Datos brutos'!AE25),IF('1. Datos brutos'!AE25&gt;30,"Hiper.",'1. Datos brutos'!AE25),"")</f>
        <v>1.23</v>
      </c>
      <c r="AE26" s="36">
        <f>IF(ISNUMBER('1. Datos brutos'!AF25),IF('1. Datos brutos'!AF25&gt;30,"Hiper.",'1. Datos brutos'!AF25),"")</f>
        <v>4.7</v>
      </c>
      <c r="AF26" s="41">
        <f>IF(ISNUMBER('1. Datos brutos'!AG25),IF('1. Datos brutos'!AG25&gt;30,"Hiper.",'1. Datos brutos'!AG25),"")</f>
        <v>8</v>
      </c>
      <c r="AG26" s="36">
        <f>IF(ISNUMBER('1. Datos brutos'!AH25),IF('1. Datos brutos'!AH25&gt;30,"Hiper.",'1. Datos brutos'!AH25),"")</f>
        <v>4.12</v>
      </c>
      <c r="AH26" s="37">
        <f>IF(ISNUMBER('1. Datos brutos'!AI25),IF('1. Datos brutos'!AI25&gt;30,"Hiper.",'1. Datos brutos'!AI25),"")</f>
        <v>2.95</v>
      </c>
      <c r="AI26" s="39">
        <f>IF(ISNUMBER('1. Datos brutos'!AJ25),IF('1. Datos brutos'!AJ25&gt;30,"Hiper.",'1. Datos brutos'!AJ25),"")</f>
        <v>0</v>
      </c>
    </row>
    <row r="27" spans="1:35" x14ac:dyDescent="0.35">
      <c r="A27" s="35" t="str">
        <f>'1. Datos brutos'!B26</f>
        <v>Reino Unido</v>
      </c>
      <c r="B27" s="11" t="str">
        <f>'1. Datos brutos'!C26</f>
        <v>Reino Unido</v>
      </c>
      <c r="C27" s="37">
        <f>IF(ISNUMBER('1. Datos brutos'!D26),IF('1. Datos brutos'!D26&gt;30,"Hiper.",'1. Datos brutos'!D26),"")</f>
        <v>2.56</v>
      </c>
      <c r="D27" s="37">
        <f>IF(ISNUMBER('1. Datos brutos'!E26),IF('1. Datos brutos'!E26&gt;30,"Hiper.",'1. Datos brutos'!E26),"")</f>
        <v>2.2200000000000002</v>
      </c>
      <c r="E27" s="37">
        <f>IF(ISNUMBER('1. Datos brutos'!F26),IF('1. Datos brutos'!F26&gt;30,"Hiper.",'1. Datos brutos'!F26),"")</f>
        <v>2.7</v>
      </c>
      <c r="F27" s="37">
        <f>IF(ISNUMBER('1. Datos brutos'!G26),IF('1. Datos brutos'!G26&gt;30,"Hiper.",'1. Datos brutos'!G26),"")</f>
        <v>2.85</v>
      </c>
      <c r="G27" s="37">
        <f>IF(ISNUMBER('1. Datos brutos'!H26),IF('1. Datos brutos'!H26&gt;30,"Hiper.",'1. Datos brutos'!H26),"")</f>
        <v>2.2000000000000002</v>
      </c>
      <c r="H27" s="38">
        <f>IF(ISNUMBER('1. Datos brutos'!I26),IF('1. Datos brutos'!I26&gt;30,"Hiper.",'1. Datos brutos'!I26),"")</f>
        <v>1.82</v>
      </c>
      <c r="I27" s="38">
        <f>IF(ISNUMBER('1. Datos brutos'!J26),IF('1. Datos brutos'!J26&gt;30,"Hiper.",'1. Datos brutos'!J26),"")</f>
        <v>1.75</v>
      </c>
      <c r="J27" s="38">
        <f>IF(ISNUMBER('1. Datos brutos'!K26),IF('1. Datos brutos'!K26&gt;30,"Hiper.",'1. Datos brutos'!K26),"")</f>
        <v>1.18</v>
      </c>
      <c r="K27" s="38">
        <f>IF(ISNUMBER('1. Datos brutos'!L26),IF('1. Datos brutos'!L26&gt;30,"Hiper.",'1. Datos brutos'!L26),"")</f>
        <v>1.53</v>
      </c>
      <c r="L27" s="38">
        <f>IF(ISNUMBER('1. Datos brutos'!M26),IF('1. Datos brutos'!M26&gt;30,"Hiper.",'1. Datos brutos'!M26),"")</f>
        <v>1.52</v>
      </c>
      <c r="M27" s="38">
        <f>IF(ISNUMBER('1. Datos brutos'!N26),IF('1. Datos brutos'!N26&gt;30,"Hiper.",'1. Datos brutos'!N26),"")</f>
        <v>1.38</v>
      </c>
      <c r="N27" s="38">
        <f>IF(ISNUMBER('1. Datos brutos'!O26),IF('1. Datos brutos'!O26&gt;30,"Hiper.",'1. Datos brutos'!O26),"")</f>
        <v>1.39</v>
      </c>
      <c r="O27" s="37">
        <f>IF(ISNUMBER('1. Datos brutos'!P26),IF('1. Datos brutos'!P26&gt;30,"Hiper.",'1. Datos brutos'!P26),"")</f>
        <v>2.09</v>
      </c>
      <c r="P27" s="37">
        <f>IF(ISNUMBER('1. Datos brutos'!Q26),IF('1. Datos brutos'!Q26&gt;30,"Hiper.",'1. Datos brutos'!Q26),"")</f>
        <v>2.46</v>
      </c>
      <c r="Q27" s="37">
        <f>IF(ISNUMBER('1. Datos brutos'!R26),IF('1. Datos brutos'!R26&gt;30,"Hiper.",'1. Datos brutos'!R26),"")</f>
        <v>2.39</v>
      </c>
      <c r="R27" s="36">
        <f>IF(ISNUMBER('1. Datos brutos'!S26),IF('1. Datos brutos'!S26&gt;30,"Hiper.",'1. Datos brutos'!S26),"")</f>
        <v>3.52</v>
      </c>
      <c r="S27" s="38">
        <f>IF(ISNUMBER('1. Datos brutos'!T26),IF('1. Datos brutos'!T26&gt;30,"Hiper.",'1. Datos brutos'!T26),"")</f>
        <v>1.96</v>
      </c>
      <c r="T27" s="37">
        <f>IF(ISNUMBER('1. Datos brutos'!U26),IF('1. Datos brutos'!U26&gt;30,"Hiper.",'1. Datos brutos'!U26),"")</f>
        <v>2.4900000000000002</v>
      </c>
      <c r="U27" s="36">
        <f>IF(ISNUMBER('1. Datos brutos'!V26),IF('1. Datos brutos'!V26&gt;30,"Hiper.",'1. Datos brutos'!V26),"")</f>
        <v>3.86</v>
      </c>
      <c r="V27" s="37">
        <f>IF(ISNUMBER('1. Datos brutos'!W26),IF('1. Datos brutos'!W26&gt;30,"Hiper.",'1. Datos brutos'!W26),"")</f>
        <v>2.57</v>
      </c>
      <c r="W27" s="37">
        <f>IF(ISNUMBER('1. Datos brutos'!X26),IF('1. Datos brutos'!X26&gt;30,"Hiper.",'1. Datos brutos'!X26),"")</f>
        <v>2.29</v>
      </c>
      <c r="X27" s="38">
        <f>IF(ISNUMBER('1. Datos brutos'!Y26),IF('1. Datos brutos'!Y26&gt;30,"Hiper.",'1. Datos brutos'!Y26),"")</f>
        <v>1.45</v>
      </c>
      <c r="Y27" s="39">
        <f>IF(ISNUMBER('1. Datos brutos'!Z26),IF('1. Datos brutos'!Z26&gt;30,"Hiper.",'1. Datos brutos'!Z26),"")</f>
        <v>0.37</v>
      </c>
      <c r="Z27" s="38">
        <f>IF(ISNUMBER('1. Datos brutos'!AA26),IF('1. Datos brutos'!AA26&gt;30,"Hiper.",'1. Datos brutos'!AA26),"")</f>
        <v>1.01</v>
      </c>
      <c r="AA27" s="37">
        <f>IF(ISNUMBER('1. Datos brutos'!AB26),IF('1. Datos brutos'!AB26&gt;30,"Hiper.",'1. Datos brutos'!AB26),"")</f>
        <v>2.56</v>
      </c>
      <c r="AB27" s="37">
        <f>IF(ISNUMBER('1. Datos brutos'!AC26),IF('1. Datos brutos'!AC26&gt;30,"Hiper.",'1. Datos brutos'!AC26),"")</f>
        <v>2.29</v>
      </c>
      <c r="AC27" s="38">
        <f>IF(ISNUMBER('1. Datos brutos'!AD26),IF('1. Datos brutos'!AD26&gt;30,"Hiper.",'1. Datos brutos'!AD26),"")</f>
        <v>1.74</v>
      </c>
      <c r="AD27" s="39">
        <f>IF(ISNUMBER('1. Datos brutos'!AE26),IF('1. Datos brutos'!AE26&gt;30,"Hiper.",'1. Datos brutos'!AE26),"")</f>
        <v>0.99</v>
      </c>
      <c r="AE27" s="37">
        <f>IF(ISNUMBER('1. Datos brutos'!AF26),IF('1. Datos brutos'!AF26&gt;30,"Hiper.",'1. Datos brutos'!AF26),"")</f>
        <v>2.52</v>
      </c>
      <c r="AF27" s="41">
        <f>IF(ISNUMBER('1. Datos brutos'!AG26),IF('1. Datos brutos'!AG26&gt;30,"Hiper.",'1. Datos brutos'!AG26),"")</f>
        <v>7.92</v>
      </c>
      <c r="AG27" s="40">
        <f>IF(ISNUMBER('1. Datos brutos'!AH26),IF('1. Datos brutos'!AH26&gt;30,"Hiper.",'1. Datos brutos'!AH26),"")</f>
        <v>6.79</v>
      </c>
      <c r="AH27" s="36">
        <f>IF(ISNUMBER('1. Datos brutos'!AI26),IF('1. Datos brutos'!AI26&gt;30,"Hiper.",'1. Datos brutos'!AI26),"")</f>
        <v>3.27</v>
      </c>
      <c r="AI27" s="39">
        <f>IF(ISNUMBER('1. Datos brutos'!AJ26),IF('1. Datos brutos'!AJ26&gt;30,"Hiper.",'1. Datos brutos'!AJ26),"")</f>
        <v>0</v>
      </c>
    </row>
  </sheetData>
  <mergeCells count="3">
    <mergeCell ref="A2:AH2"/>
    <mergeCell ref="A3:B3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showGridLines="0" zoomScale="58" workbookViewId="0">
      <pane xSplit="1" ySplit="5" topLeftCell="B8" activePane="bottomRight" state="frozen"/>
      <selection pane="topRight"/>
      <selection pane="bottomLeft"/>
      <selection pane="bottomRight" activeCell="B5" sqref="B5"/>
    </sheetView>
  </sheetViews>
  <sheetFormatPr baseColWidth="10" defaultColWidth="8.7265625" defaultRowHeight="14.5" x14ac:dyDescent="0.35"/>
  <cols>
    <col min="1" max="1" width="7" customWidth="1"/>
    <col min="2" max="8" width="20" customWidth="1"/>
  </cols>
  <sheetData>
    <row r="1" spans="1:8" x14ac:dyDescent="0.35">
      <c r="A1" s="77" t="s">
        <v>115</v>
      </c>
      <c r="B1" s="72"/>
      <c r="C1" s="72"/>
      <c r="D1" s="72"/>
      <c r="E1" s="72"/>
      <c r="F1" s="72"/>
      <c r="G1" s="72"/>
      <c r="H1" s="72"/>
    </row>
    <row r="2" spans="1:8" x14ac:dyDescent="0.35">
      <c r="A2" s="75" t="s">
        <v>116</v>
      </c>
      <c r="B2" s="72"/>
      <c r="C2" s="72"/>
      <c r="D2" s="72"/>
      <c r="E2" s="72"/>
      <c r="F2" s="72"/>
      <c r="G2" s="72"/>
      <c r="H2" s="72"/>
    </row>
    <row r="5" spans="1:8" ht="52" customHeight="1" x14ac:dyDescent="0.35">
      <c r="A5" s="14" t="s">
        <v>117</v>
      </c>
      <c r="B5" s="44" t="s">
        <v>118</v>
      </c>
      <c r="C5" s="45" t="s">
        <v>119</v>
      </c>
      <c r="D5" s="46" t="s">
        <v>120</v>
      </c>
      <c r="E5" s="47" t="s">
        <v>121</v>
      </c>
      <c r="F5" s="48" t="s">
        <v>122</v>
      </c>
      <c r="G5" s="49" t="s">
        <v>123</v>
      </c>
      <c r="H5" s="49" t="s">
        <v>124</v>
      </c>
    </row>
    <row r="6" spans="1:8" x14ac:dyDescent="0.35">
      <c r="A6" s="50">
        <v>1993</v>
      </c>
      <c r="B6" s="15">
        <f>AVERAGEIF('1. Datos brutos'!$C$5:$C$26,"Eurozona core",'1. Datos brutos'!$D$5:$D$26)</f>
        <v>95.13</v>
      </c>
      <c r="C6" s="51">
        <f>AVERAGEIF('1. Datos brutos'!$C$5:$C$26,"Bálticos",'1. Datos brutos'!$D$5:$D$26)</f>
        <v>203.08333333333334</v>
      </c>
      <c r="D6" s="52" t="e">
        <f>AVERAGEIFS('1. Datos brutos'!$D$5:$D$26,'1. Datos brutos'!$C$5:$C$26,"Bálticos",'1. Datos brutos'!$D$5:$D$26,"&lt;=30")</f>
        <v>#DIV/0!</v>
      </c>
      <c r="E6" s="53">
        <f>AVERAGEIF('1. Datos brutos'!$C$5:$C$26,"Reino Unido",'1. Datos brutos'!$D$5:$D$26)</f>
        <v>2.56</v>
      </c>
      <c r="F6" s="54">
        <f>AVERAGEIF('1. Datos brutos'!$C$5:$C$26,"EE.UU.",'1. Datos brutos'!$D$5:$D$26)</f>
        <v>2.95</v>
      </c>
      <c r="G6" s="6">
        <f>AVERAGE('1. Datos brutos'!$D$5:$D$26)</f>
        <v>101.4531818181818</v>
      </c>
      <c r="H6" s="6">
        <f>STDEV('1. Datos brutos'!$D$5:$D$26)</f>
        <v>324.69384924419654</v>
      </c>
    </row>
    <row r="7" spans="1:8" x14ac:dyDescent="0.35">
      <c r="A7" s="55">
        <v>1994</v>
      </c>
      <c r="B7" s="23">
        <f>AVERAGEIF('1. Datos brutos'!$C$5:$C$26,"Eurozona core",'1. Datos brutos'!$E$5:$E$26)</f>
        <v>11.394117647058824</v>
      </c>
      <c r="C7" s="56">
        <f>AVERAGEIF('1. Datos brutos'!$C$5:$C$26,"Bálticos",'1. Datos brutos'!$E$5:$E$26)</f>
        <v>51.94</v>
      </c>
      <c r="D7" s="57" t="e">
        <f>AVERAGEIFS('1. Datos brutos'!$E$5:$E$26,'1. Datos brutos'!$C$5:$C$26,"Bálticos",'1. Datos brutos'!$E$5:$E$26,"&lt;=30")</f>
        <v>#DIV/0!</v>
      </c>
      <c r="E7" s="58">
        <f>AVERAGEIF('1. Datos brutos'!$C$5:$C$26,"Reino Unido",'1. Datos brutos'!$E$5:$E$26)</f>
        <v>2.2200000000000002</v>
      </c>
      <c r="F7" s="59">
        <f>AVERAGEIF('1. Datos brutos'!$C$5:$C$26,"EE.UU.",'1. Datos brutos'!$E$5:$E$26)</f>
        <v>2.61</v>
      </c>
      <c r="G7" s="9">
        <f>AVERAGE('1. Datos brutos'!$E$5:$E$26)</f>
        <v>16.106818181818184</v>
      </c>
      <c r="H7" s="9">
        <f>STDEV('1. Datos brutos'!$E$5:$E$26)</f>
        <v>27.163005546999397</v>
      </c>
    </row>
    <row r="8" spans="1:8" x14ac:dyDescent="0.35">
      <c r="A8" s="50">
        <v>1995</v>
      </c>
      <c r="B8" s="15">
        <f>AVERAGEIF('1. Datos brutos'!$C$5:$C$26,"Eurozona core",'1. Datos brutos'!$F$5:$F$26)</f>
        <v>4.2164705882352935</v>
      </c>
      <c r="C8" s="51">
        <f>AVERAGEIF('1. Datos brutos'!$C$5:$C$26,"Bálticos",'1. Datos brutos'!$F$5:$F$26)</f>
        <v>31.136666666666667</v>
      </c>
      <c r="D8" s="52">
        <f>AVERAGEIFS('1. Datos brutos'!$F$5:$F$26,'1. Datos brutos'!$C$5:$C$26,"Bálticos",'1. Datos brutos'!$F$5:$F$26,"&lt;=30")</f>
        <v>26.880000000000003</v>
      </c>
      <c r="E8" s="53">
        <f>AVERAGEIF('1. Datos brutos'!$C$5:$C$26,"Reino Unido",'1. Datos brutos'!$F$5:$F$26)</f>
        <v>2.7</v>
      </c>
      <c r="F8" s="54">
        <f>AVERAGEIF('1. Datos brutos'!$C$5:$C$26,"EE.UU.",'1. Datos brutos'!$F$5:$F$26)</f>
        <v>2.81</v>
      </c>
      <c r="G8" s="6">
        <f>AVERAGE('1. Datos brutos'!$F$5:$F$26)</f>
        <v>7.754545454545454</v>
      </c>
      <c r="H8" s="6">
        <f>STDEV('1. Datos brutos'!$F$5:$F$26)</f>
        <v>10.26107101403057</v>
      </c>
    </row>
    <row r="9" spans="1:8" x14ac:dyDescent="0.35">
      <c r="A9" s="55">
        <v>1996</v>
      </c>
      <c r="B9" s="23">
        <f>AVERAGEIF('1. Datos brutos'!$C$5:$C$26,"Eurozona core",'1. Datos brutos'!$G$5:$G$26)</f>
        <v>3.3441176470588228</v>
      </c>
      <c r="C9" s="56">
        <f>AVERAGEIF('1. Datos brutos'!$C$5:$C$26,"Bálticos",'1. Datos brutos'!$G$5:$G$26)</f>
        <v>21.763333333333332</v>
      </c>
      <c r="D9" s="57">
        <f>AVERAGEIFS('1. Datos brutos'!$G$5:$G$26,'1. Datos brutos'!$C$5:$C$26,"Bálticos",'1. Datos brutos'!$G$5:$G$26,"&lt;=30")</f>
        <v>21.763333333333332</v>
      </c>
      <c r="E9" s="58">
        <f>AVERAGEIF('1. Datos brutos'!$C$5:$C$26,"Reino Unido",'1. Datos brutos'!$G$5:$G$26)</f>
        <v>2.85</v>
      </c>
      <c r="F9" s="59">
        <f>AVERAGEIF('1. Datos brutos'!$C$5:$C$26,"EE.UU.",'1. Datos brutos'!$G$5:$G$26)</f>
        <v>2.93</v>
      </c>
      <c r="G9" s="9">
        <f>AVERAGE('1. Datos brutos'!$G$5:$G$26)</f>
        <v>5.8145454545454545</v>
      </c>
      <c r="H9" s="9">
        <f>STDEV('1. Datos brutos'!$G$5:$G$26)</f>
        <v>6.9404464843839397</v>
      </c>
    </row>
    <row r="10" spans="1:8" x14ac:dyDescent="0.35">
      <c r="A10" s="50">
        <v>1997</v>
      </c>
      <c r="B10" s="15">
        <f>AVERAGEIF('1. Datos brutos'!$C$5:$C$26,"Eurozona core",'1. Datos brutos'!$H$5:$H$26)</f>
        <v>2.9158823529411761</v>
      </c>
      <c r="C10" s="51">
        <f>AVERAGEIF('1. Datos brutos'!$C$5:$C$26,"Bálticos",'1. Datos brutos'!$H$5:$H$26)</f>
        <v>9.3033333333333346</v>
      </c>
      <c r="D10" s="52">
        <f>AVERAGEIFS('1. Datos brutos'!$H$5:$H$26,'1. Datos brutos'!$C$5:$C$26,"Bálticos",'1. Datos brutos'!$H$5:$H$26,"&lt;=30")</f>
        <v>9.3033333333333346</v>
      </c>
      <c r="E10" s="53">
        <f>AVERAGEIF('1. Datos brutos'!$C$5:$C$26,"Reino Unido",'1. Datos brutos'!$H$5:$H$26)</f>
        <v>2.2000000000000002</v>
      </c>
      <c r="F10" s="54">
        <f>AVERAGEIF('1. Datos brutos'!$C$5:$C$26,"EE.UU.",'1. Datos brutos'!$H$5:$H$26)</f>
        <v>2.34</v>
      </c>
      <c r="G10" s="6">
        <f>AVERAGE('1. Datos brutos'!$H$5:$H$26)</f>
        <v>3.7281818181818185</v>
      </c>
      <c r="H10" s="6">
        <f>STDEV('1. Datos brutos'!$H$5:$H$26)</f>
        <v>2.9139134810237182</v>
      </c>
    </row>
    <row r="11" spans="1:8" x14ac:dyDescent="0.35">
      <c r="A11" s="55">
        <v>1998</v>
      </c>
      <c r="B11" s="23">
        <f>AVERAGEIF('1. Datos brutos'!$C$5:$C$26,"Eurozona core",'1. Datos brutos'!$I$5:$I$26)</f>
        <v>2.7570588235294111</v>
      </c>
      <c r="C11" s="56">
        <f>AVERAGEIF('1. Datos brutos'!$C$5:$C$26,"Bálticos",'1. Datos brutos'!$I$5:$I$26)</f>
        <v>5.9733333333333336</v>
      </c>
      <c r="D11" s="57">
        <f>AVERAGEIFS('1. Datos brutos'!$I$5:$I$26,'1. Datos brutos'!$C$5:$C$26,"Bálticos",'1. Datos brutos'!$I$5:$I$26,"&lt;=30")</f>
        <v>5.9733333333333336</v>
      </c>
      <c r="E11" s="58">
        <f>AVERAGEIF('1. Datos brutos'!$C$5:$C$26,"Reino Unido",'1. Datos brutos'!$I$5:$I$26)</f>
        <v>1.82</v>
      </c>
      <c r="F11" s="59">
        <f>AVERAGEIF('1. Datos brutos'!$C$5:$C$26,"EE.UU.",'1. Datos brutos'!$I$5:$I$26)</f>
        <v>1.55</v>
      </c>
      <c r="G11" s="9">
        <f>AVERAGE('1. Datos brutos'!$I$5:$I$26)</f>
        <v>3.0981818181818173</v>
      </c>
      <c r="H11" s="9">
        <f>STDEV('1. Datos brutos'!$I$5:$I$26)</f>
        <v>2.3869339495791864</v>
      </c>
    </row>
    <row r="12" spans="1:8" x14ac:dyDescent="0.35">
      <c r="A12" s="50">
        <v>1999</v>
      </c>
      <c r="B12" s="15">
        <f>AVERAGEIF('1. Datos brutos'!$C$5:$C$26,"Eurozona core",'1. Datos brutos'!$J$5:$J$26)</f>
        <v>2.4858823529411769</v>
      </c>
      <c r="C12" s="51">
        <f>AVERAGEIF('1. Datos brutos'!$C$5:$C$26,"Bálticos",'1. Datos brutos'!$J$5:$J$26)</f>
        <v>2.1300000000000003</v>
      </c>
      <c r="D12" s="52">
        <f>AVERAGEIFS('1. Datos brutos'!$J$5:$J$26,'1. Datos brutos'!$C$5:$C$26,"Bálticos",'1. Datos brutos'!$J$5:$J$26,"&lt;=30")</f>
        <v>2.1300000000000003</v>
      </c>
      <c r="E12" s="53">
        <f>AVERAGEIF('1. Datos brutos'!$C$5:$C$26,"Reino Unido",'1. Datos brutos'!$J$5:$J$26)</f>
        <v>1.75</v>
      </c>
      <c r="F12" s="54">
        <f>AVERAGEIF('1. Datos brutos'!$C$5:$C$26,"EE.UU.",'1. Datos brutos'!$J$5:$J$26)</f>
        <v>2.19</v>
      </c>
      <c r="G12" s="6">
        <f>AVERAGE('1. Datos brutos'!$J$5:$J$26)</f>
        <v>2.3904545454545456</v>
      </c>
      <c r="H12" s="6">
        <f>STDEV('1. Datos brutos'!$J$5:$J$26)</f>
        <v>2.2323028410200023</v>
      </c>
    </row>
    <row r="13" spans="1:8" x14ac:dyDescent="0.35">
      <c r="A13" s="55">
        <v>2000</v>
      </c>
      <c r="B13" s="23">
        <f>AVERAGEIF('1. Datos brutos'!$C$5:$C$26,"Eurozona core",'1. Datos brutos'!$K$5:$K$26)</f>
        <v>3.8923529411764699</v>
      </c>
      <c r="C13" s="56">
        <f>AVERAGEIF('1. Datos brutos'!$C$5:$C$26,"Bálticos",'1. Datos brutos'!$K$5:$K$26)</f>
        <v>2.5500000000000003</v>
      </c>
      <c r="D13" s="57">
        <f>AVERAGEIFS('1. Datos brutos'!$K$5:$K$26,'1. Datos brutos'!$C$5:$C$26,"Bálticos",'1. Datos brutos'!$K$5:$K$26,"&lt;=30")</f>
        <v>2.5500000000000003</v>
      </c>
      <c r="E13" s="58">
        <f>AVERAGEIF('1. Datos brutos'!$C$5:$C$26,"Reino Unido",'1. Datos brutos'!$K$5:$K$26)</f>
        <v>1.18</v>
      </c>
      <c r="F13" s="59">
        <f>AVERAGEIF('1. Datos brutos'!$C$5:$C$26,"EE.UU.",'1. Datos brutos'!$K$5:$K$26)</f>
        <v>3.38</v>
      </c>
      <c r="G13" s="9">
        <f>AVERAGE('1. Datos brutos'!$K$5:$K$26)</f>
        <v>3.5627272727272725</v>
      </c>
      <c r="H13" s="9">
        <f>STDEV('1. Datos brutos'!$K$5:$K$26)</f>
        <v>2.5357128833603828</v>
      </c>
    </row>
    <row r="14" spans="1:8" x14ac:dyDescent="0.35">
      <c r="A14" s="50">
        <v>2001</v>
      </c>
      <c r="B14" s="15">
        <f>AVERAGEIF('1. Datos brutos'!$C$5:$C$26,"Eurozona core",'1. Datos brutos'!$L$5:$L$26)</f>
        <v>3.6170588235294119</v>
      </c>
      <c r="C14" s="51">
        <f>AVERAGEIF('1. Datos brutos'!$C$5:$C$26,"Bálticos",'1. Datos brutos'!$L$5:$L$26)</f>
        <v>3.2033333333333331</v>
      </c>
      <c r="D14" s="52">
        <f>AVERAGEIFS('1. Datos brutos'!$L$5:$L$26,'1. Datos brutos'!$C$5:$C$26,"Bálticos",'1. Datos brutos'!$L$5:$L$26,"&lt;=30")</f>
        <v>3.2033333333333331</v>
      </c>
      <c r="E14" s="53">
        <f>AVERAGEIF('1. Datos brutos'!$C$5:$C$26,"Reino Unido",'1. Datos brutos'!$L$5:$L$26)</f>
        <v>1.53</v>
      </c>
      <c r="F14" s="54">
        <f>AVERAGEIF('1. Datos brutos'!$C$5:$C$26,"EE.UU.",'1. Datos brutos'!$L$5:$L$26)</f>
        <v>2.83</v>
      </c>
      <c r="G14" s="6">
        <f>AVERAGE('1. Datos brutos'!$L$5:$L$26)</f>
        <v>3.43</v>
      </c>
      <c r="H14" s="6">
        <f>STDEV('1. Datos brutos'!$L$5:$L$26)</f>
        <v>1.8094434819263387</v>
      </c>
    </row>
    <row r="15" spans="1:8" x14ac:dyDescent="0.35">
      <c r="A15" s="55">
        <v>2002</v>
      </c>
      <c r="B15" s="23">
        <f>AVERAGEIF('1. Datos brutos'!$C$5:$C$26,"Eurozona core",'1. Datos brutos'!$M$5:$M$26)</f>
        <v>2.8470588235294119</v>
      </c>
      <c r="C15" s="56">
        <f>AVERAGEIF('1. Datos brutos'!$C$5:$C$26,"Bálticos",'1. Datos brutos'!$M$5:$M$26)</f>
        <v>1.93</v>
      </c>
      <c r="D15" s="57">
        <f>AVERAGEIFS('1. Datos brutos'!$M$5:$M$26,'1. Datos brutos'!$C$5:$C$26,"Bálticos",'1. Datos brutos'!$M$5:$M$26,"&lt;=30")</f>
        <v>1.93</v>
      </c>
      <c r="E15" s="58">
        <f>AVERAGEIF('1. Datos brutos'!$C$5:$C$26,"Reino Unido",'1. Datos brutos'!$M$5:$M$26)</f>
        <v>1.52</v>
      </c>
      <c r="F15" s="59">
        <f>AVERAGEIF('1. Datos brutos'!$C$5:$C$26,"EE.UU.",'1. Datos brutos'!$M$5:$M$26)</f>
        <v>1.59</v>
      </c>
      <c r="G15" s="9">
        <f>AVERAGE('1. Datos brutos'!$M$5:$M$26)</f>
        <v>2.6045454545454549</v>
      </c>
      <c r="H15" s="9">
        <f>STDEV('1. Datos brutos'!$M$5:$M$26)</f>
        <v>1.475710409301638</v>
      </c>
    </row>
    <row r="16" spans="1:8" x14ac:dyDescent="0.35">
      <c r="A16" s="50">
        <v>2003</v>
      </c>
      <c r="B16" s="15">
        <f>AVERAGEIF('1. Datos brutos'!$C$5:$C$26,"Eurozona core",'1. Datos brutos'!$N$5:$N$26)</f>
        <v>2.8441176470588232</v>
      </c>
      <c r="C16" s="51">
        <f>AVERAGEIF('1. Datos brutos'!$C$5:$C$26,"Bálticos",'1. Datos brutos'!$N$5:$N$26)</f>
        <v>1.0466666666666666</v>
      </c>
      <c r="D16" s="52">
        <f>AVERAGEIFS('1. Datos brutos'!$N$5:$N$26,'1. Datos brutos'!$C$5:$C$26,"Bálticos",'1. Datos brutos'!$N$5:$N$26,"&lt;=30")</f>
        <v>1.0466666666666666</v>
      </c>
      <c r="E16" s="53">
        <f>AVERAGEIF('1. Datos brutos'!$C$5:$C$26,"Reino Unido",'1. Datos brutos'!$N$5:$N$26)</f>
        <v>1.38</v>
      </c>
      <c r="F16" s="54">
        <f>AVERAGEIF('1. Datos brutos'!$C$5:$C$26,"EE.UU.",'1. Datos brutos'!$N$5:$N$26)</f>
        <v>2.27</v>
      </c>
      <c r="G16" s="6">
        <f>AVERAGE('1. Datos brutos'!$N$5:$N$26)</f>
        <v>2.5063636363636363</v>
      </c>
      <c r="H16" s="6">
        <f>STDEV('1. Datos brutos'!$N$5:$N$26)</f>
        <v>1.9133106323223039</v>
      </c>
    </row>
    <row r="17" spans="1:8" x14ac:dyDescent="0.35">
      <c r="A17" s="55">
        <v>2004</v>
      </c>
      <c r="B17" s="23">
        <f>AVERAGEIF('1. Datos brutos'!$C$5:$C$26,"Eurozona core",'1. Datos brutos'!$O$5:$O$26)</f>
        <v>2.5076470588235287</v>
      </c>
      <c r="C17" s="56">
        <f>AVERAGEIF('1. Datos brutos'!$C$5:$C$26,"Bálticos",'1. Datos brutos'!$O$5:$O$26)</f>
        <v>3.4666666666666668</v>
      </c>
      <c r="D17" s="57">
        <f>AVERAGEIFS('1. Datos brutos'!$O$5:$O$26,'1. Datos brutos'!$C$5:$C$26,"Bálticos",'1. Datos brutos'!$O$5:$O$26,"&lt;=30")</f>
        <v>3.4666666666666668</v>
      </c>
      <c r="E17" s="58">
        <f>AVERAGEIF('1. Datos brutos'!$C$5:$C$26,"Reino Unido",'1. Datos brutos'!$O$5:$O$26)</f>
        <v>1.39</v>
      </c>
      <c r="F17" s="59">
        <f>AVERAGEIF('1. Datos brutos'!$C$5:$C$26,"EE.UU.",'1. Datos brutos'!$O$5:$O$26)</f>
        <v>2.68</v>
      </c>
      <c r="G17" s="9">
        <f>AVERAGE('1. Datos brutos'!$O$5:$O$26)</f>
        <v>2.5954545454545448</v>
      </c>
      <c r="H17" s="9">
        <f>STDEV('1. Datos brutos'!$O$5:$O$26)</f>
        <v>1.5821074771532027</v>
      </c>
    </row>
    <row r="18" spans="1:8" x14ac:dyDescent="0.35">
      <c r="A18" s="50">
        <v>2005</v>
      </c>
      <c r="B18" s="15">
        <f>AVERAGEIF('1. Datos brutos'!$C$5:$C$26,"Eurozona core",'1. Datos brutos'!$P$5:$P$26)</f>
        <v>2.4047058823529408</v>
      </c>
      <c r="C18" s="51">
        <f>AVERAGEIF('1. Datos brutos'!$C$5:$C$26,"Bálticos",'1. Datos brutos'!$P$5:$P$26)</f>
        <v>4.496666666666667</v>
      </c>
      <c r="D18" s="52">
        <f>AVERAGEIFS('1. Datos brutos'!$P$5:$P$26,'1. Datos brutos'!$C$5:$C$26,"Bálticos",'1. Datos brutos'!$P$5:$P$26,"&lt;=30")</f>
        <v>4.496666666666667</v>
      </c>
      <c r="E18" s="53">
        <f>AVERAGEIF('1. Datos brutos'!$C$5:$C$26,"Reino Unido",'1. Datos brutos'!$P$5:$P$26)</f>
        <v>2.09</v>
      </c>
      <c r="F18" s="54">
        <f>AVERAGEIF('1. Datos brutos'!$C$5:$C$26,"EE.UU.",'1. Datos brutos'!$P$5:$P$26)</f>
        <v>3.39</v>
      </c>
      <c r="G18" s="6">
        <f>AVERAGE('1. Datos brutos'!$P$5:$P$26)</f>
        <v>2.7204545454545457</v>
      </c>
      <c r="H18" s="6">
        <f>STDEV('1. Datos brutos'!$P$5:$P$26)</f>
        <v>1.1832500732857498</v>
      </c>
    </row>
    <row r="19" spans="1:8" x14ac:dyDescent="0.35">
      <c r="A19" s="55">
        <v>2006</v>
      </c>
      <c r="B19" s="23">
        <f>AVERAGEIF('1. Datos brutos'!$C$5:$C$26,"Eurozona core",'1. Datos brutos'!$Q$5:$Q$26)</f>
        <v>2.5229411764705887</v>
      </c>
      <c r="C19" s="56">
        <f>AVERAGEIF('1. Datos brutos'!$C$5:$C$26,"Bálticos",'1. Datos brutos'!$Q$5:$Q$26)</f>
        <v>4.9066666666666672</v>
      </c>
      <c r="D19" s="57">
        <f>AVERAGEIFS('1. Datos brutos'!$Q$5:$Q$26,'1. Datos brutos'!$C$5:$C$26,"Bálticos",'1. Datos brutos'!$Q$5:$Q$26,"&lt;=30")</f>
        <v>4.9066666666666672</v>
      </c>
      <c r="E19" s="58">
        <f>AVERAGEIF('1. Datos brutos'!$C$5:$C$26,"Reino Unido",'1. Datos brutos'!$Q$5:$Q$26)</f>
        <v>2.46</v>
      </c>
      <c r="F19" s="59">
        <f>AVERAGEIF('1. Datos brutos'!$C$5:$C$26,"EE.UU.",'1. Datos brutos'!$Q$5:$Q$26)</f>
        <v>3.23</v>
      </c>
      <c r="G19" s="9">
        <f>AVERAGE('1. Datos brutos'!$Q$5:$Q$26)</f>
        <v>2.8772727272727279</v>
      </c>
      <c r="H19" s="9">
        <f>STDEV('1. Datos brutos'!$Q$5:$Q$26)</f>
        <v>1.2664430196727843</v>
      </c>
    </row>
    <row r="20" spans="1:8" x14ac:dyDescent="0.35">
      <c r="A20" s="50">
        <v>2007</v>
      </c>
      <c r="B20" s="15">
        <f>AVERAGEIF('1. Datos brutos'!$C$5:$C$26,"Eurozona core",'1. Datos brutos'!$R$5:$R$26)</f>
        <v>2.4711764705882353</v>
      </c>
      <c r="C20" s="51">
        <f>AVERAGEIF('1. Datos brutos'!$C$5:$C$26,"Bálticos",'1. Datos brutos'!$R$5:$R$26)</f>
        <v>7.4766666666666666</v>
      </c>
      <c r="D20" s="52">
        <f>AVERAGEIFS('1. Datos brutos'!$R$5:$R$26,'1. Datos brutos'!$C$5:$C$26,"Bálticos",'1. Datos brutos'!$R$5:$R$26,"&lt;=30")</f>
        <v>7.4766666666666666</v>
      </c>
      <c r="E20" s="53">
        <f>AVERAGEIF('1. Datos brutos'!$C$5:$C$26,"Reino Unido",'1. Datos brutos'!$R$5:$R$26)</f>
        <v>2.39</v>
      </c>
      <c r="F20" s="54">
        <f>AVERAGEIF('1. Datos brutos'!$C$5:$C$26,"EE.UU.",'1. Datos brutos'!$R$5:$R$26)</f>
        <v>2.85</v>
      </c>
      <c r="G20" s="6">
        <f>AVERAGE('1. Datos brutos'!$R$5:$R$26)</f>
        <v>3.167272727272727</v>
      </c>
      <c r="H20" s="6">
        <f>STDEV('1. Datos brutos'!$R$5:$R$26)</f>
        <v>2.0386110626931928</v>
      </c>
    </row>
    <row r="21" spans="1:8" x14ac:dyDescent="0.35">
      <c r="A21" s="55">
        <v>2008</v>
      </c>
      <c r="B21" s="23">
        <f>AVERAGEIF('1. Datos brutos'!$C$5:$C$26,"Eurozona core",'1. Datos brutos'!$S$5:$S$26)</f>
        <v>3.9164705882352941</v>
      </c>
      <c r="C21" s="56">
        <f>AVERAGEIF('1. Datos brutos'!$C$5:$C$26,"Bálticos",'1. Datos brutos'!$S$5:$S$26)</f>
        <v>12.229999999999999</v>
      </c>
      <c r="D21" s="57">
        <f>AVERAGEIFS('1. Datos brutos'!$S$5:$S$26,'1. Datos brutos'!$C$5:$C$26,"Bálticos",'1. Datos brutos'!$S$5:$S$26,"&lt;=30")</f>
        <v>12.229999999999999</v>
      </c>
      <c r="E21" s="58">
        <f>AVERAGEIF('1. Datos brutos'!$C$5:$C$26,"Reino Unido",'1. Datos brutos'!$S$5:$S$26)</f>
        <v>3.52</v>
      </c>
      <c r="F21" s="59">
        <f>AVERAGEIF('1. Datos brutos'!$C$5:$C$26,"EE.UU.",'1. Datos brutos'!$S$5:$S$26)</f>
        <v>3.84</v>
      </c>
      <c r="G21" s="9">
        <f>AVERAGE('1. Datos brutos'!$S$5:$S$26)</f>
        <v>5.0286363636363642</v>
      </c>
      <c r="H21" s="9">
        <f>STDEV('1. Datos brutos'!$S$5:$S$26)</f>
        <v>3.1815349626579175</v>
      </c>
    </row>
    <row r="22" spans="1:8" x14ac:dyDescent="0.35">
      <c r="A22" s="50">
        <v>2009</v>
      </c>
      <c r="B22" s="15">
        <f>AVERAGEIF('1. Datos brutos'!$C$5:$C$26,"Eurozona core",'1. Datos brutos'!$T$5:$T$26)</f>
        <v>0.35705882352941165</v>
      </c>
      <c r="C22" s="51">
        <f>AVERAGEIF('1. Datos brutos'!$C$5:$C$26,"Bálticos",'1. Datos brutos'!$T$5:$T$26)</f>
        <v>2.6333333333333333</v>
      </c>
      <c r="D22" s="52">
        <f>AVERAGEIFS('1. Datos brutos'!$T$5:$T$26,'1. Datos brutos'!$C$5:$C$26,"Bálticos",'1. Datos brutos'!$T$5:$T$26,"&lt;=30")</f>
        <v>2.6333333333333333</v>
      </c>
      <c r="E22" s="53">
        <f>AVERAGEIF('1. Datos brutos'!$C$5:$C$26,"Reino Unido",'1. Datos brutos'!$T$5:$T$26)</f>
        <v>1.96</v>
      </c>
      <c r="F22" s="54">
        <f>AVERAGEIF('1. Datos brutos'!$C$5:$C$26,"EE.UU.",'1. Datos brutos'!$T$5:$T$26)</f>
        <v>-0.36</v>
      </c>
      <c r="G22" s="6">
        <f>AVERAGE('1. Datos brutos'!$T$5:$T$26)</f>
        <v>0.70772727272727254</v>
      </c>
      <c r="H22" s="6">
        <f>STDEV('1. Datos brutos'!$T$5:$T$26)</f>
        <v>1.7350776895414766</v>
      </c>
    </row>
    <row r="23" spans="1:8" x14ac:dyDescent="0.35">
      <c r="A23" s="55">
        <v>2010</v>
      </c>
      <c r="B23" s="23">
        <f>AVERAGEIF('1. Datos brutos'!$C$5:$C$26,"Eurozona core",'1. Datos brutos'!$U$5:$U$26)</f>
        <v>1.624705882352941</v>
      </c>
      <c r="C23" s="56">
        <f>AVERAGEIF('1. Datos brutos'!$C$5:$C$26,"Bálticos",'1. Datos brutos'!$U$5:$U$26)</f>
        <v>1.07</v>
      </c>
      <c r="D23" s="57">
        <f>AVERAGEIFS('1. Datos brutos'!$U$5:$U$26,'1. Datos brutos'!$C$5:$C$26,"Bálticos",'1. Datos brutos'!$U$5:$U$26,"&lt;=30")</f>
        <v>1.07</v>
      </c>
      <c r="E23" s="58">
        <f>AVERAGEIF('1. Datos brutos'!$C$5:$C$26,"Reino Unido",'1. Datos brutos'!$U$5:$U$26)</f>
        <v>2.4900000000000002</v>
      </c>
      <c r="F23" s="59">
        <f>AVERAGEIF('1. Datos brutos'!$C$5:$C$26,"EE.UU.",'1. Datos brutos'!$U$5:$U$26)</f>
        <v>1.64</v>
      </c>
      <c r="G23" s="9">
        <f>AVERAGE('1. Datos brutos'!$U$5:$U$26)</f>
        <v>1.5890909090909091</v>
      </c>
      <c r="H23" s="9">
        <f>STDEV('1. Datos brutos'!$U$5:$U$26)</f>
        <v>1.172721332915593</v>
      </c>
    </row>
    <row r="24" spans="1:8" x14ac:dyDescent="0.35">
      <c r="A24" s="50">
        <v>2011</v>
      </c>
      <c r="B24" s="15">
        <f>AVERAGEIF('1. Datos brutos'!$C$5:$C$26,"Eurozona core",'1. Datos brutos'!$V$5:$V$26)</f>
        <v>2.9370588235294117</v>
      </c>
      <c r="C24" s="51">
        <f>AVERAGEIF('1. Datos brutos'!$C$5:$C$26,"Bálticos",'1. Datos brutos'!$V$5:$V$26)</f>
        <v>4.4933333333333332</v>
      </c>
      <c r="D24" s="52">
        <f>AVERAGEIFS('1. Datos brutos'!$V$5:$V$26,'1. Datos brutos'!$C$5:$C$26,"Bálticos",'1. Datos brutos'!$V$5:$V$26,"&lt;=30")</f>
        <v>4.4933333333333332</v>
      </c>
      <c r="E24" s="53">
        <f>AVERAGEIF('1. Datos brutos'!$C$5:$C$26,"Reino Unido",'1. Datos brutos'!$V$5:$V$26)</f>
        <v>3.86</v>
      </c>
      <c r="F24" s="54">
        <f>AVERAGEIF('1. Datos brutos'!$C$5:$C$26,"EE.UU.",'1. Datos brutos'!$V$5:$V$26)</f>
        <v>3.16</v>
      </c>
      <c r="G24" s="6">
        <f>AVERAGE('1. Datos brutos'!$V$5:$V$26)</f>
        <v>3.2013636363636362</v>
      </c>
      <c r="H24" s="6">
        <f>STDEV('1. Datos brutos'!$V$5:$V$26)</f>
        <v>0.80054324088051609</v>
      </c>
    </row>
    <row r="25" spans="1:8" x14ac:dyDescent="0.35">
      <c r="A25" s="55">
        <v>2012</v>
      </c>
      <c r="B25" s="23">
        <f>AVERAGEIF('1. Datos brutos'!$C$5:$C$26,"Eurozona core",'1. Datos brutos'!$W$5:$W$26)</f>
        <v>2.5329411764705889</v>
      </c>
      <c r="C25" s="56">
        <f>AVERAGEIF('1. Datos brutos'!$C$5:$C$26,"Bálticos",'1. Datos brutos'!$W$5:$W$26)</f>
        <v>3.0933333333333333</v>
      </c>
      <c r="D25" s="57">
        <f>AVERAGEIFS('1. Datos brutos'!$W$5:$W$26,'1. Datos brutos'!$C$5:$C$26,"Bálticos",'1. Datos brutos'!$W$5:$W$26,"&lt;=30")</f>
        <v>3.0933333333333333</v>
      </c>
      <c r="E25" s="58">
        <f>AVERAGEIF('1. Datos brutos'!$C$5:$C$26,"Reino Unido",'1. Datos brutos'!$W$5:$W$26)</f>
        <v>2.57</v>
      </c>
      <c r="F25" s="59">
        <f>AVERAGEIF('1. Datos brutos'!$C$5:$C$26,"EE.UU.",'1. Datos brutos'!$W$5:$W$26)</f>
        <v>2.0699999999999998</v>
      </c>
      <c r="G25" s="9">
        <f>AVERAGE('1. Datos brutos'!$W$5:$W$26)</f>
        <v>2.59</v>
      </c>
      <c r="H25" s="9">
        <f>STDEV('1. Datos brutos'!$W$5:$W$26)</f>
        <v>0.5921550633471101</v>
      </c>
    </row>
    <row r="26" spans="1:8" x14ac:dyDescent="0.35">
      <c r="A26" s="50">
        <v>2013</v>
      </c>
      <c r="B26" s="15">
        <f>AVERAGEIF('1. Datos brutos'!$C$5:$C$26,"Eurozona core",'1. Datos brutos'!$X$5:$X$26)</f>
        <v>1.1682352941176473</v>
      </c>
      <c r="C26" s="51">
        <f>AVERAGEIF('1. Datos brutos'!$C$5:$C$26,"Bálticos",'1. Datos brutos'!$X$5:$X$26)</f>
        <v>1.2666666666666666</v>
      </c>
      <c r="D26" s="52">
        <f>AVERAGEIFS('1. Datos brutos'!$X$5:$X$26,'1. Datos brutos'!$C$5:$C$26,"Bálticos",'1. Datos brutos'!$X$5:$X$26,"&lt;=30")</f>
        <v>1.2666666666666666</v>
      </c>
      <c r="E26" s="53">
        <f>AVERAGEIF('1. Datos brutos'!$C$5:$C$26,"Reino Unido",'1. Datos brutos'!$X$5:$X$26)</f>
        <v>2.29</v>
      </c>
      <c r="F26" s="54">
        <f>AVERAGEIF('1. Datos brutos'!$C$5:$C$26,"EE.UU.",'1. Datos brutos'!$X$5:$X$26)</f>
        <v>1.46</v>
      </c>
      <c r="G26" s="6">
        <f>AVERAGE('1. Datos brutos'!$X$5:$X$26)</f>
        <v>1.2459090909090909</v>
      </c>
      <c r="H26" s="6">
        <f>STDEV('1. Datos brutos'!$X$5:$X$26)</f>
        <v>0.92587492259720061</v>
      </c>
    </row>
    <row r="27" spans="1:8" x14ac:dyDescent="0.35">
      <c r="A27" s="55">
        <v>2014</v>
      </c>
      <c r="B27" s="23">
        <f>AVERAGEIF('1. Datos brutos'!$C$5:$C$26,"Eurozona core",'1. Datos brutos'!$Y$5:$Y$26)</f>
        <v>0.20999999999999996</v>
      </c>
      <c r="C27" s="56">
        <f>AVERAGEIF('1. Datos brutos'!$C$5:$C$26,"Bálticos",'1. Datos brutos'!$Y$5:$Y$26)</f>
        <v>0.20333333333333334</v>
      </c>
      <c r="D27" s="57">
        <f>AVERAGEIFS('1. Datos brutos'!$Y$5:$Y$26,'1. Datos brutos'!$C$5:$C$26,"Bálticos",'1. Datos brutos'!$Y$5:$Y$26,"&lt;=30")</f>
        <v>0.20333333333333334</v>
      </c>
      <c r="E27" s="58">
        <f>AVERAGEIF('1. Datos brutos'!$C$5:$C$26,"Reino Unido",'1. Datos brutos'!$Y$5:$Y$26)</f>
        <v>1.45</v>
      </c>
      <c r="F27" s="59">
        <f>AVERAGEIF('1. Datos brutos'!$C$5:$C$26,"EE.UU.",'1. Datos brutos'!$Y$5:$Y$26)</f>
        <v>1.62</v>
      </c>
      <c r="G27" s="9">
        <f>AVERAGE('1. Datos brutos'!$Y$5:$Y$26)</f>
        <v>0.32954545454545453</v>
      </c>
      <c r="H27" s="9">
        <f>STDEV('1. Datos brutos'!$Y$5:$Y$26)</f>
        <v>0.78385784226677035</v>
      </c>
    </row>
    <row r="28" spans="1:8" x14ac:dyDescent="0.35">
      <c r="A28" s="50">
        <v>2015</v>
      </c>
      <c r="B28" s="15">
        <f>AVERAGEIF('1. Datos brutos'!$C$5:$C$26,"Eurozona core",'1. Datos brutos'!$Z$5:$Z$26)</f>
        <v>-8.7647058823529439E-2</v>
      </c>
      <c r="C28" s="51">
        <f>AVERAGEIF('1. Datos brutos'!$C$5:$C$26,"Bálticos",'1. Datos brutos'!$Z$5:$Z$26)</f>
        <v>-0.39999999999999997</v>
      </c>
      <c r="D28" s="52">
        <f>AVERAGEIFS('1. Datos brutos'!$Z$5:$Z$26,'1. Datos brutos'!$C$5:$C$26,"Bálticos",'1. Datos brutos'!$Z$5:$Z$26,"&lt;=30")</f>
        <v>-0.39999999999999997</v>
      </c>
      <c r="E28" s="53">
        <f>AVERAGEIF('1. Datos brutos'!$C$5:$C$26,"Reino Unido",'1. Datos brutos'!$Z$5:$Z$26)</f>
        <v>0.37</v>
      </c>
      <c r="F28" s="54">
        <f>AVERAGEIF('1. Datos brutos'!$C$5:$C$26,"EE.UU.",'1. Datos brutos'!$Z$5:$Z$26)</f>
        <v>0.12</v>
      </c>
      <c r="G28" s="6">
        <f>AVERAGE('1. Datos brutos'!$Z$5:$Z$26)</f>
        <v>-9.9999999999999964E-2</v>
      </c>
      <c r="H28" s="6">
        <f>STDEV('1. Datos brutos'!$Z$5:$Z$26)</f>
        <v>0.78177453819591025</v>
      </c>
    </row>
    <row r="29" spans="1:8" x14ac:dyDescent="0.35">
      <c r="A29" s="55">
        <v>2016</v>
      </c>
      <c r="B29" s="23">
        <f>AVERAGEIF('1. Datos brutos'!$C$5:$C$26,"Eurozona core",'1. Datos brutos'!$AA$5:$AA$26)</f>
        <v>8.9411764705882357E-2</v>
      </c>
      <c r="C29" s="56">
        <f>AVERAGEIF('1. Datos brutos'!$C$5:$C$26,"Bálticos",'1. Datos brutos'!$AA$5:$AA$26)</f>
        <v>0.40000000000000008</v>
      </c>
      <c r="D29" s="57">
        <f>AVERAGEIFS('1. Datos brutos'!$AA$5:$AA$26,'1. Datos brutos'!$C$5:$C$26,"Bálticos",'1. Datos brutos'!$AA$5:$AA$26,"&lt;=30")</f>
        <v>0.40000000000000008</v>
      </c>
      <c r="E29" s="58">
        <f>AVERAGEIF('1. Datos brutos'!$C$5:$C$26,"Reino Unido",'1. Datos brutos'!$AA$5:$AA$26)</f>
        <v>1.01</v>
      </c>
      <c r="F29" s="59">
        <f>AVERAGEIF('1. Datos brutos'!$C$5:$C$26,"EE.UU.",'1. Datos brutos'!$AA$5:$AA$26)</f>
        <v>1.26</v>
      </c>
      <c r="G29" s="9">
        <f>AVERAGE('1. Datos brutos'!$AA$5:$AA$26)</f>
        <v>0.22681818181818178</v>
      </c>
      <c r="H29" s="9">
        <f>STDEV('1. Datos brutos'!$AA$5:$AA$26)</f>
        <v>0.77832167645173034</v>
      </c>
    </row>
    <row r="30" spans="1:8" x14ac:dyDescent="0.35">
      <c r="A30" s="50">
        <v>2017</v>
      </c>
      <c r="B30" s="15">
        <f>AVERAGEIF('1. Datos brutos'!$C$5:$C$26,"Eurozona core",'1. Datos brutos'!$AB$5:$AB$26)</f>
        <v>1.3182352941176469</v>
      </c>
      <c r="C30" s="51">
        <f>AVERAGEIF('1. Datos brutos'!$C$5:$C$26,"Bálticos",'1. Datos brutos'!$AB$5:$AB$26)</f>
        <v>3.3566666666666669</v>
      </c>
      <c r="D30" s="52">
        <f>AVERAGEIFS('1. Datos brutos'!$AB$5:$AB$26,'1. Datos brutos'!$C$5:$C$26,"Bálticos",'1. Datos brutos'!$AB$5:$AB$26,"&lt;=30")</f>
        <v>3.3566666666666669</v>
      </c>
      <c r="E30" s="53">
        <f>AVERAGEIF('1. Datos brutos'!$C$5:$C$26,"Reino Unido",'1. Datos brutos'!$AB$5:$AB$26)</f>
        <v>2.56</v>
      </c>
      <c r="F30" s="54">
        <f>AVERAGEIF('1. Datos brutos'!$C$5:$C$26,"EE.UU.",'1. Datos brutos'!$AB$5:$AB$26)</f>
        <v>2.13</v>
      </c>
      <c r="G30" s="6">
        <f>AVERAGE('1. Datos brutos'!$AB$5:$AB$26)</f>
        <v>1.6895454545454547</v>
      </c>
      <c r="H30" s="6">
        <f>STDEV('1. Datos brutos'!$AB$5:$AB$26)</f>
        <v>0.86898121670054262</v>
      </c>
    </row>
    <row r="31" spans="1:8" x14ac:dyDescent="0.35">
      <c r="A31" s="55">
        <v>2018</v>
      </c>
      <c r="B31" s="23">
        <f>AVERAGEIF('1. Datos brutos'!$C$5:$C$26,"Eurozona core",'1. Datos brutos'!$AC$5:$AC$26)</f>
        <v>1.4817647058823529</v>
      </c>
      <c r="C31" s="56">
        <f>AVERAGEIF('1. Datos brutos'!$C$5:$C$26,"Bálticos",'1. Datos brutos'!$AC$5:$AC$26)</f>
        <v>2.89</v>
      </c>
      <c r="D31" s="57">
        <f>AVERAGEIFS('1. Datos brutos'!$AC$5:$AC$26,'1. Datos brutos'!$C$5:$C$26,"Bálticos",'1. Datos brutos'!$AC$5:$AC$26,"&lt;=30")</f>
        <v>2.89</v>
      </c>
      <c r="E31" s="58">
        <f>AVERAGEIF('1. Datos brutos'!$C$5:$C$26,"Reino Unido",'1. Datos brutos'!$AC$5:$AC$26)</f>
        <v>2.29</v>
      </c>
      <c r="F31" s="59">
        <f>AVERAGEIF('1. Datos brutos'!$C$5:$C$26,"EE.UU.",'1. Datos brutos'!$AC$5:$AC$26)</f>
        <v>2.44</v>
      </c>
      <c r="G31" s="9">
        <f>AVERAGE('1. Datos brutos'!$AC$5:$AC$26)</f>
        <v>1.7540909090909089</v>
      </c>
      <c r="H31" s="9">
        <f>STDEV('1. Datos brutos'!$AC$5:$AC$26)</f>
        <v>0.71482038430516381</v>
      </c>
    </row>
    <row r="32" spans="1:8" x14ac:dyDescent="0.35">
      <c r="A32" s="50">
        <v>2019</v>
      </c>
      <c r="B32" s="15">
        <f>AVERAGEIF('1. Datos brutos'!$C$5:$C$26,"Eurozona core",'1. Datos brutos'!$AD$5:$AD$26)</f>
        <v>1.2182352941176469</v>
      </c>
      <c r="C32" s="51">
        <f>AVERAGEIF('1. Datos brutos'!$C$5:$C$26,"Bálticos",'1. Datos brutos'!$AD$5:$AD$26)</f>
        <v>2.4733333333333332</v>
      </c>
      <c r="D32" s="52">
        <f>AVERAGEIFS('1. Datos brutos'!$AD$5:$AD$26,'1. Datos brutos'!$C$5:$C$26,"Bálticos",'1. Datos brutos'!$AD$5:$AD$26,"&lt;=30")</f>
        <v>2.4733333333333332</v>
      </c>
      <c r="E32" s="53">
        <f>AVERAGEIF('1. Datos brutos'!$C$5:$C$26,"Reino Unido",'1. Datos brutos'!$AD$5:$AD$26)</f>
        <v>1.74</v>
      </c>
      <c r="F32" s="54">
        <f>AVERAGEIF('1. Datos brutos'!$C$5:$C$26,"EE.UU.",'1. Datos brutos'!$AD$5:$AD$26)</f>
        <v>1.81</v>
      </c>
      <c r="G32" s="6">
        <f>AVERAGE('1. Datos brutos'!$AD$5:$AD$26)</f>
        <v>1.4399999999999995</v>
      </c>
      <c r="H32" s="6">
        <f>STDEV('1. Datos brutos'!$AD$5:$AD$26)</f>
        <v>0.78507506465487642</v>
      </c>
    </row>
    <row r="33" spans="1:8" x14ac:dyDescent="0.35">
      <c r="A33" s="55">
        <v>2020</v>
      </c>
      <c r="B33" s="23">
        <f>AVERAGEIF('1. Datos brutos'!$C$5:$C$26,"Eurozona core",'1. Datos brutos'!$AE$5:$AE$26)</f>
        <v>0.3005882352941176</v>
      </c>
      <c r="C33" s="56">
        <f>AVERAGEIF('1. Datos brutos'!$C$5:$C$26,"Bálticos",'1. Datos brutos'!$AE$5:$AE$26)</f>
        <v>0.32666666666666666</v>
      </c>
      <c r="D33" s="57">
        <f>AVERAGEIFS('1. Datos brutos'!$AE$5:$AE$26,'1. Datos brutos'!$C$5:$C$26,"Bálticos",'1. Datos brutos'!$AE$5:$AE$26,"&lt;=30")</f>
        <v>0.32666666666666666</v>
      </c>
      <c r="E33" s="58">
        <f>AVERAGEIF('1. Datos brutos'!$C$5:$C$26,"Reino Unido",'1. Datos brutos'!$AE$5:$AE$26)</f>
        <v>0.99</v>
      </c>
      <c r="F33" s="59">
        <f>AVERAGEIF('1. Datos brutos'!$C$5:$C$26,"EE.UU.",'1. Datos brutos'!$AE$5:$AE$26)</f>
        <v>1.23</v>
      </c>
      <c r="G33" s="9">
        <f>AVERAGE('1. Datos brutos'!$AE$5:$AE$26)</f>
        <v>0.37772727272727274</v>
      </c>
      <c r="H33" s="9">
        <f>STDEV('1. Datos brutos'!$AE$5:$AE$26)</f>
        <v>0.77178785524682458</v>
      </c>
    </row>
    <row r="34" spans="1:8" x14ac:dyDescent="0.35">
      <c r="A34" s="50">
        <v>2021</v>
      </c>
      <c r="B34" s="15">
        <f>AVERAGEIF('1. Datos brutos'!$C$5:$C$26,"Eurozona core",'1. Datos brutos'!$AF$5:$AF$26)</f>
        <v>2.2752941176470594</v>
      </c>
      <c r="C34" s="51">
        <f>AVERAGEIF('1. Datos brutos'!$C$5:$C$26,"Bálticos",'1. Datos brutos'!$AF$5:$AF$26)</f>
        <v>4.2033333333333331</v>
      </c>
      <c r="D34" s="52">
        <f>AVERAGEIFS('1. Datos brutos'!$AF$5:$AF$26,'1. Datos brutos'!$C$5:$C$26,"Bálticos",'1. Datos brutos'!$AF$5:$AF$26,"&lt;=30")</f>
        <v>4.2033333333333331</v>
      </c>
      <c r="E34" s="53">
        <f>AVERAGEIF('1. Datos brutos'!$C$5:$C$26,"Reino Unido",'1. Datos brutos'!$AF$5:$AF$26)</f>
        <v>2.52</v>
      </c>
      <c r="F34" s="54">
        <f>AVERAGEIF('1. Datos brutos'!$C$5:$C$26,"EE.UU.",'1. Datos brutos'!$AF$5:$AF$26)</f>
        <v>4.7</v>
      </c>
      <c r="G34" s="6">
        <f>AVERAGE('1. Datos brutos'!$AF$5:$AF$26)</f>
        <v>2.6595454545454551</v>
      </c>
      <c r="H34" s="6">
        <f>STDEV('1. Datos brutos'!$AF$5:$AF$26)</f>
        <v>1.0052219715670809</v>
      </c>
    </row>
    <row r="35" spans="1:8" x14ac:dyDescent="0.35">
      <c r="A35" s="55">
        <v>2022</v>
      </c>
      <c r="B35" s="23">
        <f>AVERAGEIF('1. Datos brutos'!$C$5:$C$26,"Eurozona core",'1. Datos brutos'!$AG$5:$AG$26)</f>
        <v>8.3841176470588259</v>
      </c>
      <c r="C35" s="56">
        <f>AVERAGEIF('1. Datos brutos'!$C$5:$C$26,"Bálticos",'1. Datos brutos'!$AG$5:$AG$26)</f>
        <v>18.806666666666665</v>
      </c>
      <c r="D35" s="57">
        <f>AVERAGEIFS('1. Datos brutos'!$AG$5:$AG$26,'1. Datos brutos'!$C$5:$C$26,"Bálticos",'1. Datos brutos'!$AG$5:$AG$26,"&lt;=30")</f>
        <v>18.806666666666665</v>
      </c>
      <c r="E35" s="58">
        <f>AVERAGEIF('1. Datos brutos'!$C$5:$C$26,"Reino Unido",'1. Datos brutos'!$AG$5:$AG$26)</f>
        <v>7.92</v>
      </c>
      <c r="F35" s="59">
        <f>AVERAGEIF('1. Datos brutos'!$C$5:$C$26,"EE.UU.",'1. Datos brutos'!$AG$5:$AG$26)</f>
        <v>8</v>
      </c>
      <c r="G35" s="9">
        <f>AVERAGE('1. Datos brutos'!$AG$5:$AG$26)</f>
        <v>9.7668181818181825</v>
      </c>
      <c r="H35" s="9">
        <f>STDEV('1. Datos brutos'!$AG$5:$AG$26)</f>
        <v>4.0368143809593633</v>
      </c>
    </row>
    <row r="36" spans="1:8" x14ac:dyDescent="0.35">
      <c r="A36" s="50">
        <v>2023</v>
      </c>
      <c r="B36" s="15">
        <f>AVERAGEIF('1. Datos brutos'!$C$5:$C$26,"Eurozona core",'1. Datos brutos'!$AH$5:$AH$26)</f>
        <v>5.5464705882352945</v>
      </c>
      <c r="C36" s="51">
        <f>AVERAGEIF('1. Datos brutos'!$C$5:$C$26,"Bálticos",'1. Datos brutos'!$AH$5:$AH$26)</f>
        <v>9.0733333333333324</v>
      </c>
      <c r="D36" s="52">
        <f>AVERAGEIFS('1. Datos brutos'!$AH$5:$AH$26,'1. Datos brutos'!$C$5:$C$26,"Bálticos",'1. Datos brutos'!$AH$5:$AH$26,"&lt;=30")</f>
        <v>9.0733333333333324</v>
      </c>
      <c r="E36" s="53">
        <f>AVERAGEIF('1. Datos brutos'!$C$5:$C$26,"Reino Unido",'1. Datos brutos'!$AH$5:$AH$26)</f>
        <v>6.79</v>
      </c>
      <c r="F36" s="54">
        <f>AVERAGEIF('1. Datos brutos'!$C$5:$C$26,"EE.UU.",'1. Datos brutos'!$AH$5:$AH$26)</f>
        <v>4.12</v>
      </c>
      <c r="G36" s="6">
        <f>AVERAGE('1. Datos brutos'!$AH$5:$AH$26)</f>
        <v>6.0190909090909095</v>
      </c>
      <c r="H36" s="6">
        <f>STDEV('1. Datos brutos'!$AH$5:$AH$26)</f>
        <v>2.1777553080679555</v>
      </c>
    </row>
    <row r="37" spans="1:8" x14ac:dyDescent="0.35">
      <c r="A37" s="55">
        <v>2024</v>
      </c>
      <c r="B37" s="23">
        <f>AVERAGEIF('1. Datos brutos'!$C$5:$C$26,"Eurozona core",'1. Datos brutos'!$AI$5:$AI$26)</f>
        <v>2.322352941176471</v>
      </c>
      <c r="C37" s="56">
        <f>AVERAGEIF('1. Datos brutos'!$C$5:$C$26,"Bálticos",'1. Datos brutos'!$AI$5:$AI$26)</f>
        <v>1.8366666666666667</v>
      </c>
      <c r="D37" s="57">
        <f>AVERAGEIFS('1. Datos brutos'!$AI$5:$AI$26,'1. Datos brutos'!$C$5:$C$26,"Bálticos",'1. Datos brutos'!$AI$5:$AI$26,"&lt;=30")</f>
        <v>1.8366666666666667</v>
      </c>
      <c r="E37" s="58">
        <f>AVERAGEIF('1. Datos brutos'!$C$5:$C$26,"Reino Unido",'1. Datos brutos'!$AI$5:$AI$26)</f>
        <v>3.27</v>
      </c>
      <c r="F37" s="59">
        <f>AVERAGEIF('1. Datos brutos'!$C$5:$C$26,"EE.UU.",'1. Datos brutos'!$AI$5:$AI$26)</f>
        <v>2.95</v>
      </c>
      <c r="G37" s="9">
        <f>AVERAGE('1. Datos brutos'!$AI$5:$AI$26)</f>
        <v>2.3277272727272726</v>
      </c>
      <c r="H37" s="9">
        <f>STDEV('1. Datos brutos'!$AI$5:$AI$26)</f>
        <v>0.78516562898223152</v>
      </c>
    </row>
    <row r="38" spans="1:8" x14ac:dyDescent="0.35">
      <c r="A38" s="50">
        <v>2025</v>
      </c>
      <c r="B38" s="15">
        <f>AVERAGEIF('1. Datos brutos'!$C$5:$C$26,"Eurozona core",'1. Datos brutos'!$AJ$5:$AJ$26)</f>
        <v>0</v>
      </c>
      <c r="C38" s="51">
        <f>AVERAGEIF('1. Datos brutos'!$C$5:$C$26,"Bálticos",'1. Datos brutos'!$AJ$5:$AJ$26)</f>
        <v>0</v>
      </c>
      <c r="D38" s="52">
        <f>AVERAGEIFS('1. Datos brutos'!$AJ$5:$AJ$26,'1. Datos brutos'!$C$5:$C$26,"Bálticos",'1. Datos brutos'!$AJ$5:$AJ$26,"&lt;=30")</f>
        <v>0</v>
      </c>
      <c r="E38" s="53">
        <f>AVERAGEIF('1. Datos brutos'!$C$5:$C$26,"Reino Unido",'1. Datos brutos'!$AJ$5:$AJ$26)</f>
        <v>0</v>
      </c>
      <c r="F38" s="54">
        <f>AVERAGEIF('1. Datos brutos'!$C$5:$C$26,"EE.UU.",'1. Datos brutos'!$AJ$5:$AJ$26)</f>
        <v>0</v>
      </c>
      <c r="G38" s="6">
        <f>AVERAGE('1. Datos brutos'!$AJ$5:$AJ$26)</f>
        <v>0</v>
      </c>
      <c r="H38" s="6">
        <f>STDEV('1. Datos brutos'!$AJ$5:$AJ$26)</f>
        <v>0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2"/>
  <sheetViews>
    <sheetView showGridLines="0" workbookViewId="0"/>
  </sheetViews>
  <sheetFormatPr baseColWidth="10" defaultColWidth="8.7265625" defaultRowHeight="14.5" x14ac:dyDescent="0.35"/>
  <cols>
    <col min="1" max="1" width="105" customWidth="1"/>
  </cols>
  <sheetData>
    <row r="1" spans="1:1" ht="15.5" x14ac:dyDescent="0.35">
      <c r="A1" s="1" t="s">
        <v>125</v>
      </c>
    </row>
    <row r="2" spans="1:1" x14ac:dyDescent="0.35">
      <c r="A2" s="60"/>
    </row>
    <row r="3" spans="1:1" x14ac:dyDescent="0.35">
      <c r="A3" s="61" t="s">
        <v>126</v>
      </c>
    </row>
    <row r="4" spans="1:1" x14ac:dyDescent="0.35">
      <c r="A4" s="62" t="e">
        <f>AVERAGE(rango)</f>
        <v>#NAME?</v>
      </c>
    </row>
    <row r="5" spans="1:1" x14ac:dyDescent="0.35">
      <c r="A5" s="63" t="s">
        <v>127</v>
      </c>
    </row>
    <row r="6" spans="1:1" x14ac:dyDescent="0.35">
      <c r="A6" s="62" t="e">
        <f>STDEV(rango)</f>
        <v>#NAME?</v>
      </c>
    </row>
    <row r="7" spans="1:1" x14ac:dyDescent="0.35">
      <c r="A7" s="63" t="s">
        <v>128</v>
      </c>
    </row>
    <row r="8" spans="1:1" x14ac:dyDescent="0.35">
      <c r="A8" s="62"/>
    </row>
    <row r="9" spans="1:1" x14ac:dyDescent="0.35">
      <c r="A9" s="63" t="s">
        <v>129</v>
      </c>
    </row>
    <row r="10" spans="1:1" x14ac:dyDescent="0.35">
      <c r="A10" s="62" t="e">
        <f>INDEX(fila_años, MATCH(MIN(rango), rango, 0))</f>
        <v>#NAME?</v>
      </c>
    </row>
    <row r="11" spans="1:1" x14ac:dyDescent="0.35">
      <c r="A11" s="63" t="s">
        <v>130</v>
      </c>
    </row>
    <row r="12" spans="1:1" x14ac:dyDescent="0.35">
      <c r="A12" s="64" t="e">
        <f>AVERAGEIF(rango, "&lt;=30")</f>
        <v>#NAME?</v>
      </c>
    </row>
    <row r="13" spans="1:1" x14ac:dyDescent="0.35">
      <c r="A13" s="63" t="s">
        <v>131</v>
      </c>
    </row>
    <row r="14" spans="1:1" x14ac:dyDescent="0.35">
      <c r="A14" s="65"/>
    </row>
    <row r="15" spans="1:1" x14ac:dyDescent="0.35">
      <c r="A15" s="63" t="s">
        <v>132</v>
      </c>
    </row>
    <row r="16" spans="1:1" x14ac:dyDescent="0.35">
      <c r="A16" s="66" t="s">
        <v>133</v>
      </c>
    </row>
    <row r="17" spans="1:1" x14ac:dyDescent="0.35">
      <c r="A17" s="67"/>
    </row>
    <row r="18" spans="1:1" x14ac:dyDescent="0.35">
      <c r="A18" s="63" t="s">
        <v>134</v>
      </c>
    </row>
    <row r="19" spans="1:1" x14ac:dyDescent="0.35">
      <c r="A19" s="67"/>
    </row>
    <row r="20" spans="1:1" x14ac:dyDescent="0.35">
      <c r="A20" s="63" t="s">
        <v>135</v>
      </c>
    </row>
    <row r="21" spans="1:1" x14ac:dyDescent="0.35">
      <c r="A21" s="65" t="e">
        <f>COUNTIF(rango, "&gt;30")</f>
        <v>#NAME?</v>
      </c>
    </row>
    <row r="22" spans="1:1" x14ac:dyDescent="0.35">
      <c r="A22" s="63" t="s">
        <v>136</v>
      </c>
    </row>
    <row r="23" spans="1:1" x14ac:dyDescent="0.35">
      <c r="A23" s="68" t="e">
        <f>COUNTIF(rango, "&lt;0")</f>
        <v>#NAME?</v>
      </c>
    </row>
    <row r="24" spans="1:1" x14ac:dyDescent="0.35">
      <c r="A24" s="63" t="s">
        <v>137</v>
      </c>
    </row>
    <row r="25" spans="1:1" x14ac:dyDescent="0.35">
      <c r="A25" s="60"/>
    </row>
    <row r="26" spans="1:1" x14ac:dyDescent="0.35">
      <c r="A26" s="61" t="s">
        <v>138</v>
      </c>
    </row>
    <row r="27" spans="1:1" x14ac:dyDescent="0.35">
      <c r="A27" s="62" t="str">
        <f>IF(ISNUMBER(ref), IF(ref&gt;30, "Hiper.", ref), "")</f>
        <v/>
      </c>
    </row>
    <row r="28" spans="1:1" x14ac:dyDescent="0.35">
      <c r="A28" s="63" t="s">
        <v>139</v>
      </c>
    </row>
    <row r="29" spans="1:1" x14ac:dyDescent="0.35">
      <c r="A29" s="63" t="s">
        <v>140</v>
      </c>
    </row>
    <row r="30" spans="1:1" x14ac:dyDescent="0.35">
      <c r="A30" s="66" t="s">
        <v>141</v>
      </c>
    </row>
    <row r="31" spans="1:1" x14ac:dyDescent="0.35">
      <c r="A31" s="60"/>
    </row>
    <row r="32" spans="1:1" x14ac:dyDescent="0.35">
      <c r="A32" s="61" t="s">
        <v>142</v>
      </c>
    </row>
    <row r="33" spans="1:1" x14ac:dyDescent="0.35">
      <c r="A33" s="69" t="e">
        <f>AVERAGEIF($C$5:$C$26, "Eurozona core", col_año)</f>
        <v>#NAME?</v>
      </c>
    </row>
    <row r="34" spans="1:1" x14ac:dyDescent="0.35">
      <c r="A34" s="63" t="s">
        <v>143</v>
      </c>
    </row>
    <row r="35" spans="1:1" x14ac:dyDescent="0.35">
      <c r="A35" s="63" t="s">
        <v>144</v>
      </c>
    </row>
    <row r="36" spans="1:1" x14ac:dyDescent="0.35">
      <c r="A36" s="70" t="e">
        <f>AVERAGEIFS(col_año, $C$5:$C$26, "Bálticos", col_año, "&lt;=30")</f>
        <v>#NAME?</v>
      </c>
    </row>
    <row r="37" spans="1:1" x14ac:dyDescent="0.35">
      <c r="A37" s="63" t="s">
        <v>145</v>
      </c>
    </row>
    <row r="38" spans="1:1" x14ac:dyDescent="0.35">
      <c r="A38" s="66" t="s">
        <v>146</v>
      </c>
    </row>
    <row r="39" spans="1:1" x14ac:dyDescent="0.35">
      <c r="A39" s="62" t="e">
        <f>AVERAGE(col_año)</f>
        <v>#NAME?</v>
      </c>
    </row>
    <row r="40" spans="1:1" x14ac:dyDescent="0.35">
      <c r="A40" s="63" t="s">
        <v>147</v>
      </c>
    </row>
    <row r="41" spans="1:1" x14ac:dyDescent="0.35">
      <c r="A41" s="62" t="e">
        <f>STDEV(col_año)</f>
        <v>#NAME?</v>
      </c>
    </row>
    <row r="42" spans="1:1" x14ac:dyDescent="0.35">
      <c r="A42" s="63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Datos brutos</vt:lpstr>
      <vt:lpstr>2. Estadísticas descriptivas</vt:lpstr>
      <vt:lpstr>3. Mapa de calor</vt:lpstr>
      <vt:lpstr>4. Evolución agrupada</vt:lpstr>
      <vt:lpstr>5. Leyenda de fórmulas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Aritz Fernandez Aulestiarte</cp:lastModifiedBy>
  <dcterms:created xsi:type="dcterms:W3CDTF">2026-05-10T12:21:07Z</dcterms:created>
  <dcterms:modified xsi:type="dcterms:W3CDTF">2026-05-10T13:31:18Z</dcterms:modified>
</cp:coreProperties>
</file>